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t18000235\Downloads\"/>
    </mc:Choice>
  </mc:AlternateContent>
  <bookViews>
    <workbookView xWindow="0" yWindow="0" windowWidth="23040" windowHeight="8808"/>
  </bookViews>
  <sheets>
    <sheet name="Monthly_Fault_Data__Jan_Mar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4" i="1" l="1"/>
  <c r="P174" i="1" s="1"/>
  <c r="G174" i="1"/>
  <c r="O173" i="1"/>
  <c r="P173" i="1" s="1"/>
  <c r="G173" i="1"/>
  <c r="O172" i="1"/>
  <c r="P172" i="1" s="1"/>
  <c r="G172" i="1"/>
  <c r="O171" i="1"/>
  <c r="P171" i="1" s="1"/>
  <c r="G171" i="1"/>
  <c r="O170" i="1"/>
  <c r="P170" i="1" s="1"/>
  <c r="G170" i="1"/>
  <c r="O169" i="1"/>
  <c r="P169" i="1" s="1"/>
  <c r="G169" i="1"/>
  <c r="O168" i="1"/>
  <c r="P168" i="1" s="1"/>
  <c r="G168" i="1"/>
  <c r="O167" i="1"/>
  <c r="P167" i="1" s="1"/>
  <c r="G167" i="1"/>
  <c r="O166" i="1"/>
  <c r="P166" i="1" s="1"/>
  <c r="G166" i="1"/>
  <c r="O165" i="1"/>
  <c r="P165" i="1" s="1"/>
  <c r="G165" i="1"/>
  <c r="O164" i="1"/>
  <c r="P164" i="1" s="1"/>
  <c r="G164" i="1"/>
  <c r="O163" i="1"/>
  <c r="P163" i="1" s="1"/>
  <c r="G163" i="1"/>
  <c r="O162" i="1"/>
  <c r="P162" i="1" s="1"/>
  <c r="G162" i="1"/>
  <c r="O161" i="1"/>
  <c r="P161" i="1" s="1"/>
  <c r="G161" i="1"/>
  <c r="O160" i="1"/>
  <c r="P160" i="1" s="1"/>
  <c r="G160" i="1"/>
  <c r="O159" i="1"/>
  <c r="P159" i="1" s="1"/>
  <c r="G159" i="1"/>
  <c r="O158" i="1"/>
  <c r="P158" i="1" s="1"/>
  <c r="G158" i="1"/>
  <c r="O157" i="1"/>
  <c r="P157" i="1" s="1"/>
  <c r="G157" i="1"/>
  <c r="O156" i="1"/>
  <c r="P156" i="1" s="1"/>
  <c r="G156" i="1"/>
  <c r="O155" i="1"/>
  <c r="P155" i="1" s="1"/>
  <c r="G155" i="1"/>
  <c r="O154" i="1"/>
  <c r="P154" i="1" s="1"/>
  <c r="G154" i="1"/>
  <c r="O153" i="1"/>
  <c r="P153" i="1" s="1"/>
  <c r="G153" i="1"/>
  <c r="O152" i="1"/>
  <c r="P152" i="1" s="1"/>
  <c r="G152" i="1"/>
  <c r="O151" i="1"/>
  <c r="P151" i="1" s="1"/>
  <c r="G151" i="1"/>
  <c r="O150" i="1"/>
  <c r="P150" i="1" s="1"/>
  <c r="G150" i="1"/>
  <c r="O149" i="1"/>
  <c r="P149" i="1" s="1"/>
  <c r="G149" i="1"/>
  <c r="O148" i="1"/>
  <c r="P148" i="1" s="1"/>
  <c r="G148" i="1"/>
  <c r="O147" i="1"/>
  <c r="P147" i="1" s="1"/>
  <c r="G147" i="1"/>
  <c r="O146" i="1"/>
  <c r="P146" i="1" s="1"/>
  <c r="G146" i="1"/>
  <c r="O145" i="1"/>
  <c r="P145" i="1" s="1"/>
  <c r="G145" i="1"/>
  <c r="O144" i="1"/>
  <c r="P144" i="1" s="1"/>
  <c r="G144" i="1"/>
  <c r="O143" i="1"/>
  <c r="P143" i="1" s="1"/>
  <c r="G143" i="1"/>
  <c r="O142" i="1"/>
  <c r="P142" i="1" s="1"/>
  <c r="G142" i="1"/>
  <c r="O141" i="1"/>
  <c r="P141" i="1" s="1"/>
  <c r="G141" i="1"/>
  <c r="O140" i="1"/>
  <c r="P140" i="1" s="1"/>
  <c r="G140" i="1"/>
  <c r="O139" i="1"/>
  <c r="P139" i="1" s="1"/>
  <c r="G139" i="1"/>
  <c r="O138" i="1"/>
  <c r="P138" i="1" s="1"/>
  <c r="G138" i="1"/>
  <c r="O137" i="1"/>
  <c r="P137" i="1" s="1"/>
  <c r="G137" i="1"/>
  <c r="O136" i="1"/>
  <c r="P136" i="1" s="1"/>
  <c r="G136" i="1"/>
  <c r="O135" i="1"/>
  <c r="P135" i="1" s="1"/>
  <c r="G135" i="1"/>
  <c r="O134" i="1"/>
  <c r="P134" i="1" s="1"/>
  <c r="G134" i="1"/>
  <c r="O133" i="1"/>
  <c r="P133" i="1" s="1"/>
  <c r="G133" i="1"/>
  <c r="O132" i="1"/>
  <c r="P132" i="1" s="1"/>
  <c r="G132" i="1"/>
  <c r="O131" i="1"/>
  <c r="P131" i="1" s="1"/>
  <c r="G131" i="1"/>
  <c r="O130" i="1"/>
  <c r="P130" i="1" s="1"/>
  <c r="G130" i="1"/>
  <c r="O129" i="1"/>
  <c r="P129" i="1" s="1"/>
  <c r="G129" i="1"/>
  <c r="O128" i="1"/>
  <c r="P128" i="1" s="1"/>
  <c r="G128" i="1"/>
  <c r="O127" i="1"/>
  <c r="P127" i="1" s="1"/>
  <c r="G127" i="1"/>
  <c r="O126" i="1"/>
  <c r="P126" i="1" s="1"/>
  <c r="G126" i="1"/>
  <c r="O125" i="1"/>
  <c r="P125" i="1" s="1"/>
  <c r="G125" i="1"/>
  <c r="O124" i="1"/>
  <c r="P124" i="1" s="1"/>
  <c r="G124" i="1"/>
  <c r="O123" i="1"/>
  <c r="P123" i="1" s="1"/>
  <c r="G123" i="1"/>
  <c r="O122" i="1"/>
  <c r="P122" i="1" s="1"/>
  <c r="G122" i="1"/>
  <c r="O121" i="1"/>
  <c r="P121" i="1" s="1"/>
  <c r="G121" i="1"/>
  <c r="O120" i="1"/>
  <c r="P120" i="1" s="1"/>
  <c r="G120" i="1"/>
  <c r="O119" i="1"/>
  <c r="P119" i="1" s="1"/>
  <c r="G119" i="1"/>
  <c r="O118" i="1"/>
  <c r="P118" i="1" s="1"/>
  <c r="G118" i="1"/>
  <c r="O117" i="1"/>
  <c r="P117" i="1" s="1"/>
  <c r="G117" i="1"/>
  <c r="O116" i="1"/>
  <c r="P116" i="1" s="1"/>
  <c r="G116" i="1"/>
  <c r="O115" i="1"/>
  <c r="P115" i="1" s="1"/>
  <c r="G115" i="1"/>
  <c r="O114" i="1"/>
  <c r="P114" i="1" s="1"/>
  <c r="G114" i="1"/>
  <c r="O113" i="1"/>
  <c r="P113" i="1" s="1"/>
  <c r="G113" i="1"/>
  <c r="O112" i="1"/>
  <c r="P112" i="1" s="1"/>
  <c r="G112" i="1"/>
  <c r="O111" i="1"/>
  <c r="P111" i="1" s="1"/>
  <c r="G111" i="1"/>
  <c r="O110" i="1"/>
  <c r="P110" i="1" s="1"/>
  <c r="G110" i="1"/>
  <c r="O109" i="1"/>
  <c r="P109" i="1" s="1"/>
  <c r="G109" i="1"/>
  <c r="O108" i="1"/>
  <c r="P108" i="1" s="1"/>
  <c r="G108" i="1"/>
  <c r="O107" i="1"/>
  <c r="P107" i="1" s="1"/>
  <c r="G107" i="1"/>
  <c r="O106" i="1"/>
  <c r="P106" i="1" s="1"/>
  <c r="G106" i="1"/>
  <c r="O105" i="1"/>
  <c r="P105" i="1" s="1"/>
  <c r="G105" i="1"/>
  <c r="O104" i="1"/>
  <c r="P104" i="1" s="1"/>
  <c r="G104" i="1"/>
  <c r="O103" i="1"/>
  <c r="P103" i="1" s="1"/>
  <c r="G103" i="1"/>
  <c r="O102" i="1"/>
  <c r="P102" i="1" s="1"/>
  <c r="G102" i="1"/>
  <c r="O101" i="1"/>
  <c r="P101" i="1" s="1"/>
  <c r="G101" i="1"/>
  <c r="O100" i="1"/>
  <c r="P100" i="1" s="1"/>
  <c r="G100" i="1"/>
  <c r="O99" i="1"/>
  <c r="P99" i="1" s="1"/>
  <c r="G99" i="1"/>
  <c r="O98" i="1"/>
  <c r="P98" i="1" s="1"/>
  <c r="G98" i="1"/>
  <c r="O97" i="1"/>
  <c r="P97" i="1" s="1"/>
  <c r="G97" i="1"/>
  <c r="O96" i="1"/>
  <c r="P96" i="1" s="1"/>
  <c r="G96" i="1"/>
  <c r="O95" i="1"/>
  <c r="P95" i="1" s="1"/>
  <c r="G95" i="1"/>
  <c r="O94" i="1"/>
  <c r="P94" i="1" s="1"/>
  <c r="G94" i="1"/>
  <c r="O93" i="1"/>
  <c r="P93" i="1" s="1"/>
  <c r="G93" i="1"/>
  <c r="O92" i="1"/>
  <c r="P92" i="1" s="1"/>
  <c r="G92" i="1"/>
  <c r="O91" i="1"/>
  <c r="P91" i="1" s="1"/>
  <c r="G91" i="1"/>
  <c r="O90" i="1"/>
  <c r="P90" i="1" s="1"/>
  <c r="G90" i="1"/>
  <c r="O89" i="1"/>
  <c r="P89" i="1" s="1"/>
  <c r="G89" i="1"/>
  <c r="O88" i="1"/>
  <c r="P88" i="1" s="1"/>
  <c r="G88" i="1"/>
  <c r="O87" i="1"/>
  <c r="P87" i="1" s="1"/>
  <c r="G87" i="1"/>
  <c r="O86" i="1"/>
  <c r="P86" i="1" s="1"/>
  <c r="G86" i="1"/>
  <c r="O85" i="1"/>
  <c r="P85" i="1" s="1"/>
  <c r="G85" i="1"/>
  <c r="O84" i="1"/>
  <c r="P84" i="1" s="1"/>
  <c r="G84" i="1"/>
  <c r="O83" i="1"/>
  <c r="P83" i="1" s="1"/>
  <c r="G83" i="1"/>
  <c r="O82" i="1"/>
  <c r="P82" i="1" s="1"/>
  <c r="G82" i="1"/>
  <c r="O81" i="1"/>
  <c r="P81" i="1" s="1"/>
  <c r="G81" i="1"/>
  <c r="O80" i="1"/>
  <c r="P80" i="1" s="1"/>
  <c r="G80" i="1"/>
  <c r="O79" i="1"/>
  <c r="P79" i="1" s="1"/>
  <c r="G79" i="1"/>
  <c r="O78" i="1"/>
  <c r="P78" i="1" s="1"/>
  <c r="G78" i="1"/>
  <c r="O77" i="1"/>
  <c r="P77" i="1" s="1"/>
  <c r="G77" i="1"/>
  <c r="O76" i="1"/>
  <c r="P76" i="1" s="1"/>
  <c r="G76" i="1"/>
  <c r="O75" i="1"/>
  <c r="P75" i="1" s="1"/>
  <c r="G75" i="1"/>
  <c r="O74" i="1"/>
  <c r="P74" i="1" s="1"/>
  <c r="G74" i="1"/>
  <c r="O73" i="1"/>
  <c r="P73" i="1" s="1"/>
  <c r="G73" i="1"/>
  <c r="O72" i="1"/>
  <c r="P72" i="1" s="1"/>
  <c r="G72" i="1"/>
  <c r="O71" i="1"/>
  <c r="P71" i="1" s="1"/>
  <c r="G71" i="1"/>
  <c r="O70" i="1"/>
  <c r="P70" i="1" s="1"/>
  <c r="G70" i="1"/>
  <c r="O69" i="1"/>
  <c r="P69" i="1" s="1"/>
  <c r="G69" i="1"/>
  <c r="O68" i="1"/>
  <c r="P68" i="1" s="1"/>
  <c r="G68" i="1"/>
  <c r="O67" i="1"/>
  <c r="P67" i="1" s="1"/>
  <c r="G67" i="1"/>
  <c r="O66" i="1"/>
  <c r="P66" i="1" s="1"/>
  <c r="G66" i="1"/>
  <c r="O65" i="1"/>
  <c r="P65" i="1" s="1"/>
  <c r="G65" i="1"/>
  <c r="O64" i="1"/>
  <c r="P64" i="1" s="1"/>
  <c r="G64" i="1"/>
  <c r="O63" i="1"/>
  <c r="P63" i="1" s="1"/>
  <c r="G63" i="1"/>
  <c r="O62" i="1"/>
  <c r="P62" i="1" s="1"/>
  <c r="G62" i="1"/>
  <c r="O61" i="1"/>
  <c r="P61" i="1" s="1"/>
  <c r="G61" i="1"/>
  <c r="O60" i="1"/>
  <c r="P60" i="1" s="1"/>
  <c r="G60" i="1"/>
  <c r="O59" i="1"/>
  <c r="P59" i="1" s="1"/>
  <c r="G59" i="1"/>
  <c r="O58" i="1"/>
  <c r="P58" i="1" s="1"/>
  <c r="G58" i="1"/>
  <c r="O3" i="1" l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 l="1"/>
  <c r="O2" i="1" l="1"/>
  <c r="P2" i="1" l="1"/>
</calcChain>
</file>

<file path=xl/sharedStrings.xml><?xml version="1.0" encoding="utf-8"?>
<sst xmlns="http://schemas.openxmlformats.org/spreadsheetml/2006/main" count="1741" uniqueCount="685">
  <si>
    <t>Date</t>
  </si>
  <si>
    <t>Fault No</t>
  </si>
  <si>
    <t>Location (Town)</t>
  </si>
  <si>
    <t>Apparatus Tripped</t>
  </si>
  <si>
    <t>Substation Area</t>
  </si>
  <si>
    <t>Weather</t>
  </si>
  <si>
    <t>Time Reclosed</t>
  </si>
  <si>
    <t>Downtime (Hours)</t>
  </si>
  <si>
    <t>Reported By</t>
  </si>
  <si>
    <t>Comments</t>
  </si>
  <si>
    <t>Month</t>
  </si>
  <si>
    <t>Severity</t>
  </si>
  <si>
    <t>South</t>
  </si>
  <si>
    <t>Clear</t>
  </si>
  <si>
    <t>ARC</t>
  </si>
  <si>
    <t>SCADA</t>
  </si>
  <si>
    <t>January</t>
  </si>
  <si>
    <t>North</t>
  </si>
  <si>
    <t>004/23</t>
  </si>
  <si>
    <t>Jwaneng</t>
  </si>
  <si>
    <t>SCADA/Mosarwe</t>
  </si>
  <si>
    <t>Bus zone trip</t>
  </si>
  <si>
    <t>005/23</t>
  </si>
  <si>
    <t>Orapa</t>
  </si>
  <si>
    <t>Rainy</t>
  </si>
  <si>
    <t>SCADA/Theophilus</t>
  </si>
  <si>
    <t>LV O/C trip, Winding Temp Trip &amp; Oil Temp Alarm</t>
  </si>
  <si>
    <t>007/23</t>
  </si>
  <si>
    <t>Sua Pan</t>
  </si>
  <si>
    <t>SCADA/Mosala</t>
  </si>
  <si>
    <t>Central</t>
  </si>
  <si>
    <t>SCADA/Sekgatlhola</t>
  </si>
  <si>
    <t>Morupule A</t>
  </si>
  <si>
    <t>17/01/2023</t>
  </si>
  <si>
    <t>113/23</t>
  </si>
  <si>
    <t>Woodhall</t>
  </si>
  <si>
    <t>Cloudy</t>
  </si>
  <si>
    <t>SCADA/Ramacha</t>
  </si>
  <si>
    <t>29/01/2023</t>
  </si>
  <si>
    <t>016/23</t>
  </si>
  <si>
    <t>SCADA/MMUSI</t>
  </si>
  <si>
    <t>S/Phikwe</t>
  </si>
  <si>
    <t>Makoba</t>
  </si>
  <si>
    <t>North West</t>
  </si>
  <si>
    <t>Motheo Mine</t>
  </si>
  <si>
    <t>February</t>
  </si>
  <si>
    <t>036/23</t>
  </si>
  <si>
    <t>Orapa 2 GEN Tx 1: LV CB 01BAT10</t>
  </si>
  <si>
    <t>SCADA/Batleng</t>
  </si>
  <si>
    <t>DIFF protection operated</t>
  </si>
  <si>
    <t>Rain</t>
  </si>
  <si>
    <t>SCADA/Baoki</t>
  </si>
  <si>
    <t>Ghanzi</t>
  </si>
  <si>
    <t>SCADA/Kahona</t>
  </si>
  <si>
    <t>17/02/2023</t>
  </si>
  <si>
    <t>051/23</t>
  </si>
  <si>
    <t>Fancistown West</t>
  </si>
  <si>
    <t>SCADA/Serema</t>
  </si>
  <si>
    <t>Earth Fault (E/F) protection trip</t>
  </si>
  <si>
    <t>18/02/2023</t>
  </si>
  <si>
    <t>052/23</t>
  </si>
  <si>
    <t>March</t>
  </si>
  <si>
    <t>14/03/2023</t>
  </si>
  <si>
    <t>078/23</t>
  </si>
  <si>
    <t>Boteti</t>
  </si>
  <si>
    <t>SCADA/Boteti</t>
  </si>
  <si>
    <t>Buchholz trip, Oil surge, internal fault suspected</t>
  </si>
  <si>
    <t>15/03/2023</t>
  </si>
  <si>
    <t>Ramotswa</t>
  </si>
  <si>
    <t>087/23</t>
  </si>
  <si>
    <t>Tlokweng</t>
  </si>
  <si>
    <t>SCADA/Tlokweng</t>
  </si>
  <si>
    <t>O/C trip, Master trip</t>
  </si>
  <si>
    <t>105/23</t>
  </si>
  <si>
    <t>Hydromet</t>
  </si>
  <si>
    <t>31/03/2023</t>
  </si>
  <si>
    <t>096/23</t>
  </si>
  <si>
    <t>Mmakgodumo</t>
  </si>
  <si>
    <t>Earth Fault (E/F) protection trip recurrence</t>
  </si>
  <si>
    <t>No time reclosed  likely no restoration indication; breaker sequence: Tripped</t>
  </si>
  <si>
    <t>Fault type</t>
  </si>
  <si>
    <t>08:09</t>
  </si>
  <si>
    <t>00:20</t>
  </si>
  <si>
    <t>01:40</t>
  </si>
  <si>
    <t>06:02</t>
  </si>
  <si>
    <t>Trip Time</t>
  </si>
  <si>
    <t>08:51</t>
  </si>
  <si>
    <t>02:44</t>
  </si>
  <si>
    <t>00:56</t>
  </si>
  <si>
    <t>System Type</t>
  </si>
  <si>
    <t>Jwaneng 132/33  T8: LV CB 8HO</t>
  </si>
  <si>
    <t>Orapa1 220/33 Transformer 2: LV CB H10</t>
  </si>
  <si>
    <t>Sua Pan 132/11 CBs 3L5 &amp; 4L5</t>
  </si>
  <si>
    <t>Overcurrent protection, smoke on 11 busbar, Botash not importing</t>
  </si>
  <si>
    <t>Woodhall 132/11 Transformer 1A: LV CB 1HO</t>
  </si>
  <si>
    <t>Orapa 1 220/33 Transformer 2: LV CB H10</t>
  </si>
  <si>
    <t>FWST 132/11 T1A &amp; T2A: 11 CBs 1HOA &amp; 2HOA</t>
  </si>
  <si>
    <t>BDHT 132/11 Transformer 3 &amp; Bus Section</t>
  </si>
  <si>
    <t>Tlokweng 132/11 Transformer 1: LV CB 1HO</t>
  </si>
  <si>
    <t>Woodhall 132/33 TRF 3: HV CB 310 &amp; LV CB H30</t>
  </si>
  <si>
    <t>18/04/2022</t>
  </si>
  <si>
    <t>117/23</t>
  </si>
  <si>
    <t>Kanye</t>
  </si>
  <si>
    <t>Kanye 132/11 kV Transformer 1: LV CB 1HO</t>
  </si>
  <si>
    <t>Trip was due to a through fault from feeder 4L5.</t>
  </si>
  <si>
    <t>April</t>
  </si>
  <si>
    <t>Kanye 132/11 kV Transformer 2: LV CB 2H0</t>
  </si>
  <si>
    <t>118/23</t>
  </si>
  <si>
    <t>Trip was due to a through fault from feeder 4L5. Further patrolling carried out.</t>
  </si>
  <si>
    <t>North/West</t>
  </si>
  <si>
    <t>Karowe</t>
  </si>
  <si>
    <t>BDHT</t>
  </si>
  <si>
    <t>BDHT 132/11kV Transformer 1</t>
  </si>
  <si>
    <t>SCADA / Ntoko</t>
  </si>
  <si>
    <t>BDHT 132/11kV Transformer 4</t>
  </si>
  <si>
    <t>MOGS</t>
  </si>
  <si>
    <t>MOGS 132/33kV Transformer 1</t>
  </si>
  <si>
    <t>33 OVERVOLTAGE TRIP, Winding Temp Alarm &amp; Trip Low set, Master trip</t>
  </si>
  <si>
    <t>MOGS 132/33kV Transformer 2</t>
  </si>
  <si>
    <t>SCADA / Charles</t>
  </si>
  <si>
    <t>NIL</t>
  </si>
  <si>
    <t>MORP</t>
  </si>
  <si>
    <t>111/23</t>
  </si>
  <si>
    <t>Morp A Generator 2 12kv CB 2GO</t>
  </si>
  <si>
    <t>SCADA / Ralesota</t>
  </si>
  <si>
    <t>Load loss: 20 MW, 151.3 MWh</t>
  </si>
  <si>
    <t>SCADA/MAKOKO</t>
  </si>
  <si>
    <t>Phakalane</t>
  </si>
  <si>
    <t>26/04/2023</t>
  </si>
  <si>
    <t>121/23</t>
  </si>
  <si>
    <t>Jwaneng 132/33kV Transformer 9 HV CB 410</t>
  </si>
  <si>
    <t>SCADA / Mosarwe</t>
  </si>
  <si>
    <t>Load loss to Debswana Mine Boreholes power supply.</t>
  </si>
  <si>
    <t>Jwaneng 132/33kV Transformer 9 LV CB 9H0</t>
  </si>
  <si>
    <t>124/23</t>
  </si>
  <si>
    <t>May</t>
  </si>
  <si>
    <t>B/HURST</t>
  </si>
  <si>
    <t>B/HURST 132/11kV Transformer 2 LV CB 4H0</t>
  </si>
  <si>
    <t>Intertrip Receive/Send; Tripped</t>
  </si>
  <si>
    <t>MOGS 132/11kV Transformer 3 HV CB 410</t>
  </si>
  <si>
    <t>Intertrip Receive; Tripped</t>
  </si>
  <si>
    <t>MOGS 132/11kV Transformer 3 LV CB 3H0</t>
  </si>
  <si>
    <t>Tripped</t>
  </si>
  <si>
    <t>MOGS 132/11kV Transformer 4 HV CB 510</t>
  </si>
  <si>
    <t>MOGS 132/11kV Transformer 4 LV CB 4H0</t>
  </si>
  <si>
    <t>Did not trip</t>
  </si>
  <si>
    <t>128/23</t>
  </si>
  <si>
    <t>IPS</t>
  </si>
  <si>
    <t>Mowana</t>
  </si>
  <si>
    <t>Mowana 132/11kV Transformer 1</t>
  </si>
  <si>
    <t>Overvoltage; Tripped</t>
  </si>
  <si>
    <t>Orapa 2 220/33kV Transformer 1 HV CB H10</t>
  </si>
  <si>
    <t>31/05/2023</t>
  </si>
  <si>
    <t>140/23</t>
  </si>
  <si>
    <t>Gov/Enclave</t>
  </si>
  <si>
    <t>Gov/Enclave 132/11kV TRF 2 HV CB 280</t>
  </si>
  <si>
    <t>SCADA/Ntoko</t>
  </si>
  <si>
    <t>Master Trip Operated; Tap Change Buchholz Operated</t>
  </si>
  <si>
    <t>Gov/Enclave 132/11kV TRF 2 LV CB 2HO</t>
  </si>
  <si>
    <t>Under Frequency; Protection Trip</t>
  </si>
  <si>
    <t>141/23</t>
  </si>
  <si>
    <t>Maun</t>
  </si>
  <si>
    <t>Maun 132/11kV Transformer 1 HV CB 110</t>
  </si>
  <si>
    <t>SCADA/MOSALA</t>
  </si>
  <si>
    <t>Did not trip initially; High set O/C on Matshwane feeder; later tripped</t>
  </si>
  <si>
    <t>June</t>
  </si>
  <si>
    <t>O/C trip</t>
  </si>
  <si>
    <t>Maun 132/11kV Transformer 2 LV CB 2TO</t>
  </si>
  <si>
    <t>15/06/2023</t>
  </si>
  <si>
    <t>147/23</t>
  </si>
  <si>
    <t>Makoba 132/33kV T2 HV &amp; LV CBs 210 &amp; T20</t>
  </si>
  <si>
    <t>SCADA/Chabalala</t>
  </si>
  <si>
    <t>LV Bus zone 2 trip &amp; Mastertrip operated</t>
  </si>
  <si>
    <t>33kV Bus Bar B/S CB S10</t>
  </si>
  <si>
    <t>Zone 2 trip, Check Zine trip &amp; Zone 2 trip L1</t>
  </si>
  <si>
    <t>29/06/2023</t>
  </si>
  <si>
    <t>154/23</t>
  </si>
  <si>
    <t>Scada/CSS</t>
  </si>
  <si>
    <t>Motheo Mine 11kV B/Section CB 1SO</t>
  </si>
  <si>
    <t>No indication; Tripped</t>
  </si>
  <si>
    <t>20:12</t>
  </si>
  <si>
    <t>July</t>
  </si>
  <si>
    <t>TBA</t>
  </si>
  <si>
    <t>08/08/2023</t>
  </si>
  <si>
    <t>August</t>
  </si>
  <si>
    <t>03:35</t>
  </si>
  <si>
    <t>150/23</t>
  </si>
  <si>
    <t>Morupule A Generator 3 11kV CB 3G0</t>
  </si>
  <si>
    <t>Thermal Stress; Tripped</t>
  </si>
  <si>
    <t>September</t>
  </si>
  <si>
    <t>Molepolole</t>
  </si>
  <si>
    <t>21:22</t>
  </si>
  <si>
    <t>Orapa 2</t>
  </si>
  <si>
    <t>23/09/2023</t>
  </si>
  <si>
    <t>21:26</t>
  </si>
  <si>
    <t>162/23</t>
  </si>
  <si>
    <t>Kgale View</t>
  </si>
  <si>
    <t>Kgale View T1 &amp; T2 11kV LV CB 1H0</t>
  </si>
  <si>
    <t>Scada / Galetshetse</t>
  </si>
  <si>
    <t>Arc protection; TRIP</t>
  </si>
  <si>
    <t>Kgale View T1 &amp; T2 11kV LV CB 2H0</t>
  </si>
  <si>
    <t>SCADA/Galetshetse</t>
  </si>
  <si>
    <t>Kgale View B/section CB 1SO</t>
  </si>
  <si>
    <t>24/09/2023</t>
  </si>
  <si>
    <t>06:08</t>
  </si>
  <si>
    <t>163/23</t>
  </si>
  <si>
    <t>Karowe T1 LV CB 1T0</t>
  </si>
  <si>
    <t>SCADA/Phillip</t>
  </si>
  <si>
    <t>TRIP (No load loss as B/Section CB 1SO was closed)</t>
  </si>
  <si>
    <t>28/09/2023</t>
  </si>
  <si>
    <t>18:55</t>
  </si>
  <si>
    <t>164/23</t>
  </si>
  <si>
    <t>Phakalane T1B LV CB 1HOB</t>
  </si>
  <si>
    <t>19:00</t>
  </si>
  <si>
    <t>SCADA/Selei</t>
  </si>
  <si>
    <t>Buchholz Alarm; TRIP</t>
  </si>
  <si>
    <t xml:space="preserve"> 00:24</t>
  </si>
  <si>
    <t xml:space="preserve"> 23:03</t>
  </si>
  <si>
    <t>October</t>
  </si>
  <si>
    <t>05/10/2023</t>
  </si>
  <si>
    <t>04:13</t>
  </si>
  <si>
    <t>168/23</t>
  </si>
  <si>
    <t>13:15</t>
  </si>
  <si>
    <t>Zone 1,2,3 Trip, Master Trip, Underfreq</t>
  </si>
  <si>
    <t>Lobatse</t>
  </si>
  <si>
    <t>Trip</t>
  </si>
  <si>
    <t>13:03</t>
  </si>
  <si>
    <t>SCADA / Makoko</t>
  </si>
  <si>
    <t>SCADA / Rasefako</t>
  </si>
  <si>
    <t>17:50</t>
  </si>
  <si>
    <t>DID NOT TRIP</t>
  </si>
  <si>
    <t>Orapa 1</t>
  </si>
  <si>
    <t>November</t>
  </si>
  <si>
    <t>17/11/2023</t>
  </si>
  <si>
    <t>191/23</t>
  </si>
  <si>
    <t>Gab East</t>
  </si>
  <si>
    <t>Gab East 132/11kV T2B LV CB 2HOB</t>
  </si>
  <si>
    <t>07:58</t>
  </si>
  <si>
    <t>11kV Bussection CB 1SOB</t>
  </si>
  <si>
    <t>08:15</t>
  </si>
  <si>
    <t>Master trip, Buszone trip, Trip Circuit Supervision 1</t>
  </si>
  <si>
    <t>18/11/2023</t>
  </si>
  <si>
    <t>192/23</t>
  </si>
  <si>
    <t>Gab East 132/11kV T1B LV CB 1HOB</t>
  </si>
  <si>
    <t>02:57</t>
  </si>
  <si>
    <t>Buszone operated, VT Fail</t>
  </si>
  <si>
    <t>02:58</t>
  </si>
  <si>
    <t>Gab East 132/11kV T3B LV CB 3HOB</t>
  </si>
  <si>
    <t>Gab East 11kV CB 1SOB</t>
  </si>
  <si>
    <t>Phase A &amp; B trip, Buszone Phase B and C</t>
  </si>
  <si>
    <t>16:21</t>
  </si>
  <si>
    <t>SCADA / Galetshetse</t>
  </si>
  <si>
    <t>December</t>
  </si>
  <si>
    <t>12/12/2023</t>
  </si>
  <si>
    <t>17:51</t>
  </si>
  <si>
    <t>206/23</t>
  </si>
  <si>
    <t>Morp.A Unit 2 12kV CB 2GO</t>
  </si>
  <si>
    <t>Flame failure; TRIPPED</t>
  </si>
  <si>
    <t>15/12/2023</t>
  </si>
  <si>
    <t>17:06</t>
  </si>
  <si>
    <t>Hydromet 66/33kV TRF 01 HV CB H10</t>
  </si>
  <si>
    <t>18:54</t>
  </si>
  <si>
    <t>Scada/Kahona/Chabalala</t>
  </si>
  <si>
    <t>Tertiary E/Fault, Master Trip; TRIPPED</t>
  </si>
  <si>
    <t>Hydromet 66/33kV TRF 01 LV CB 180</t>
  </si>
  <si>
    <t>33kV Bus Coupler CB 130</t>
  </si>
  <si>
    <t>18:04</t>
  </si>
  <si>
    <t>Closed to restore supply via TX 03</t>
  </si>
  <si>
    <t>23/12/2023</t>
  </si>
  <si>
    <t>14:38</t>
  </si>
  <si>
    <t>211/23</t>
  </si>
  <si>
    <t>Morp.A Unit 1 12kV CB 1GO</t>
  </si>
  <si>
    <t>Furnace pressure high; TRIPPED</t>
  </si>
  <si>
    <t>25/12/2023</t>
  </si>
  <si>
    <t>09:50</t>
  </si>
  <si>
    <t>Orapa 1 220/33 kV Tx 3: HV CB H30</t>
  </si>
  <si>
    <t>13:58</t>
  </si>
  <si>
    <t>SCADA/Likokoto</t>
  </si>
  <si>
    <t>Tap changer overpressure trip; Water ingress found on overpressure termination box</t>
  </si>
  <si>
    <t>27/12/2023</t>
  </si>
  <si>
    <t>00:39</t>
  </si>
  <si>
    <t>213/23</t>
  </si>
  <si>
    <t>Morupule A 12kV CB 3GO</t>
  </si>
  <si>
    <t>05:05</t>
  </si>
  <si>
    <t>Obed</t>
  </si>
  <si>
    <t>Generator temperature high; Tripped</t>
  </si>
  <si>
    <t>Voltage Level(KV)</t>
  </si>
  <si>
    <t>04/01/2024</t>
  </si>
  <si>
    <t>02:10</t>
  </si>
  <si>
    <t>005/24</t>
  </si>
  <si>
    <t>Gaphatshwa</t>
  </si>
  <si>
    <t>132/11kV T3 CB 3H0</t>
  </si>
  <si>
    <t>03:51</t>
  </si>
  <si>
    <t>TRIP</t>
  </si>
  <si>
    <t>05:23</t>
  </si>
  <si>
    <t>132/11kV T4 CB 4H0</t>
  </si>
  <si>
    <t/>
  </si>
  <si>
    <t>Francistown</t>
  </si>
  <si>
    <t>SCADA/Chawilani</t>
  </si>
  <si>
    <t>07/01/2024</t>
  </si>
  <si>
    <t>11:52</t>
  </si>
  <si>
    <t>008/24</t>
  </si>
  <si>
    <t>F/Town West</t>
  </si>
  <si>
    <t>F/Town West 132/11kV Transformer 1 : LV CB 1HOA</t>
  </si>
  <si>
    <t>12:53</t>
  </si>
  <si>
    <t>master trip, High set O/C, On Bus Section CB - High set O/C; Tripped</t>
  </si>
  <si>
    <t>11kV B/Section : CB 1S0A</t>
  </si>
  <si>
    <t>—</t>
  </si>
  <si>
    <t>Rasefako</t>
  </si>
  <si>
    <t>15/01/2024</t>
  </si>
  <si>
    <t>22:15</t>
  </si>
  <si>
    <t>019/24</t>
  </si>
  <si>
    <t>Ghanzi 132/11kV T1 LV CB 1H0</t>
  </si>
  <si>
    <t>Phase B-C O/C protetction; Tripped</t>
  </si>
  <si>
    <t>Ghanzi 132/11kV T2 LV CB 2H0</t>
  </si>
  <si>
    <t>16/01/2024</t>
  </si>
  <si>
    <t>10:00</t>
  </si>
  <si>
    <t>023/24</t>
  </si>
  <si>
    <t>Ramotswa 132/11kV T3 HV CB 310</t>
  </si>
  <si>
    <t>10:27</t>
  </si>
  <si>
    <t>Zone 1,2,3 Trip, Master Trip, Underfreq; Tripped</t>
  </si>
  <si>
    <t>Ramotswa 132/11kV T3 LV CB 3H0</t>
  </si>
  <si>
    <t>17:05</t>
  </si>
  <si>
    <t>26/01/2024</t>
  </si>
  <si>
    <t>08:34</t>
  </si>
  <si>
    <t>028/24</t>
  </si>
  <si>
    <t>Jwaneng 132/33 kV Transformer 8: LV CB 8H0</t>
  </si>
  <si>
    <t>09:04</t>
  </si>
  <si>
    <t>SCADA / Baikgantshi</t>
  </si>
  <si>
    <t>33kV bus zone: R-ɸ start, 89 alarm, 87 DIFF start, breaker fail, W-ɸ start, B-ɸ trip, zone 1 trip; Tripped</t>
  </si>
  <si>
    <t>33kV Cap Bank 2 CB 4L5</t>
  </si>
  <si>
    <t>09:17</t>
  </si>
  <si>
    <t>Jwaneng 132/33 kV Transformer 8: HV CB 110</t>
  </si>
  <si>
    <t>12:38</t>
  </si>
  <si>
    <t>029/24</t>
  </si>
  <si>
    <t>Gab EAST 132/11 kV Transformer 2B: HV CB 210B</t>
  </si>
  <si>
    <t>Did not trip initially; Tripped</t>
  </si>
  <si>
    <t>LV CB 2H0B</t>
  </si>
  <si>
    <t>13:16</t>
  </si>
  <si>
    <t>Instateneous trip; Tripped</t>
  </si>
  <si>
    <t>11 kV Bus Section CB 1S0B</t>
  </si>
  <si>
    <t>13:18</t>
  </si>
  <si>
    <t>L/H bus zone 3ɸ trip, Centre zone trip, bus zone A &amp; B trip; Tripped</t>
  </si>
  <si>
    <t>00:37</t>
  </si>
  <si>
    <t>2024-02-07</t>
  </si>
  <si>
    <t>17:59</t>
  </si>
  <si>
    <t>041/24</t>
  </si>
  <si>
    <t>Ghanzi Tx 1 LV CB 1H0</t>
  </si>
  <si>
    <t>NW</t>
  </si>
  <si>
    <t>18:44</t>
  </si>
  <si>
    <t>O/C trip; Through fault from feeder 2L5</t>
  </si>
  <si>
    <t>Ghanzi Tx 2 LV CB 2H0</t>
  </si>
  <si>
    <t>2024-02-11</t>
  </si>
  <si>
    <t>SCADA/Makoko</t>
  </si>
  <si>
    <t>10:03</t>
  </si>
  <si>
    <t>046/24</t>
  </si>
  <si>
    <t>GAB EAST</t>
  </si>
  <si>
    <t>Tx 2B HV CB 210B</t>
  </si>
  <si>
    <t>10:42</t>
  </si>
  <si>
    <t>11:00</t>
  </si>
  <si>
    <t>Tx 2B LV CB 2H0B</t>
  </si>
  <si>
    <t>11:29</t>
  </si>
  <si>
    <t>Tripped again during restoration</t>
  </si>
  <si>
    <t>11kV Bus Section CB 2S0B</t>
  </si>
  <si>
    <t>Phase A–C trip, bus zone trip</t>
  </si>
  <si>
    <t>2024-02-17</t>
  </si>
  <si>
    <t>21:02</t>
  </si>
  <si>
    <t>049/24</t>
  </si>
  <si>
    <t>Gaphatshwa T4 11kV CB 4HO</t>
  </si>
  <si>
    <t>22:21</t>
  </si>
  <si>
    <t>E. NTOKO/SCADA</t>
  </si>
  <si>
    <t>Overvoltage trip; Feeder 10L5 conductor down</t>
  </si>
  <si>
    <t>2024-02-26</t>
  </si>
  <si>
    <t>07:07</t>
  </si>
  <si>
    <t>037/24</t>
  </si>
  <si>
    <t>Mmakgodumo T1 LV CB H10</t>
  </si>
  <si>
    <t>09:52</t>
  </si>
  <si>
    <t>OC &amp; E/F Phase B&amp;C; Load loss (4 MW)</t>
  </si>
  <si>
    <t>Mmakgodumo T2 LV CB H20</t>
  </si>
  <si>
    <t>11:37</t>
  </si>
  <si>
    <t>SCADA/Rapelang</t>
  </si>
  <si>
    <t>2024-03-16</t>
  </si>
  <si>
    <t>21:08</t>
  </si>
  <si>
    <t>Under voltage trip</t>
  </si>
  <si>
    <t>058.3/24</t>
  </si>
  <si>
    <t>SCADA/Mangole</t>
  </si>
  <si>
    <t>Tlokweng T1 HV &amp; LV CBs 110 &amp; 1H0</t>
  </si>
  <si>
    <t>Tlokweng T2 HV &amp; LV CBs 210 &amp; 2H0</t>
  </si>
  <si>
    <t>Gaphatshwa T3 &amp; T4 HV CBs 410 &amp; 210; LV CBs 3H0 &amp; 4H0</t>
  </si>
  <si>
    <t>01:35</t>
  </si>
  <si>
    <t>Low set E/F trip</t>
  </si>
  <si>
    <t>2024-03-30</t>
  </si>
  <si>
    <t>062/24</t>
  </si>
  <si>
    <t>Kanye T1 LV CB 1HO</t>
  </si>
  <si>
    <t>SCADA/Mosarwe/Baoki</t>
  </si>
  <si>
    <t>OC &amp; E/F trip; Load loss (5.8 MW)</t>
  </si>
  <si>
    <t>Kanye T1 HV CB 180</t>
  </si>
  <si>
    <t>Kanye T2 LV CB 2HO</t>
  </si>
  <si>
    <t>OC &amp; E/F trip</t>
  </si>
  <si>
    <t>Kanye T2 HV CB 280</t>
  </si>
  <si>
    <t>2024-05-04</t>
  </si>
  <si>
    <t>04:23</t>
  </si>
  <si>
    <t>071/24</t>
  </si>
  <si>
    <t>Mogoditshane</t>
  </si>
  <si>
    <t>Mogoditshane T3 HV CB 410</t>
  </si>
  <si>
    <t>Tripped; Load loss (6 MW)</t>
  </si>
  <si>
    <t>Mogoditshane T3 LV CB 3H0</t>
  </si>
  <si>
    <t>Mogoditshane T4 HV CB 510</t>
  </si>
  <si>
    <t>Mogoditshane T4 LV CB 4H0</t>
  </si>
  <si>
    <t>2024-05-24</t>
  </si>
  <si>
    <t>20:36</t>
  </si>
  <si>
    <t>077/24</t>
  </si>
  <si>
    <t>Francistown West</t>
  </si>
  <si>
    <t>F/Town West T1A LV CB 1HOA</t>
  </si>
  <si>
    <t>22:31</t>
  </si>
  <si>
    <t>Tripped; Load loss (8.7 MW)</t>
  </si>
  <si>
    <t>F/Town West T2A LV CB 2HOA</t>
  </si>
  <si>
    <t>22:33</t>
  </si>
  <si>
    <t>2024-05-31</t>
  </si>
  <si>
    <t>07:51</t>
  </si>
  <si>
    <t>079/24</t>
  </si>
  <si>
    <t>Gab East T1A HV CB 110A</t>
  </si>
  <si>
    <t>08:37</t>
  </si>
  <si>
    <t>SCADA/R. Galetshetse</t>
  </si>
  <si>
    <t>LV REF trip; Load loss (10 MW)</t>
  </si>
  <si>
    <t>Gab East T1A LV CB 1H0A</t>
  </si>
  <si>
    <t>LV REF trip</t>
  </si>
  <si>
    <t>15:35</t>
  </si>
  <si>
    <t>Orapa 2 T1 HV CB H10</t>
  </si>
  <si>
    <t>18:46</t>
  </si>
  <si>
    <t>SCADA/Maduo</t>
  </si>
  <si>
    <t>Master trip; Load loss (15 MW)</t>
  </si>
  <si>
    <t>Orapa 2 T1 LV CB H08</t>
  </si>
  <si>
    <t>18:50</t>
  </si>
  <si>
    <t>SCADA/Louis</t>
  </si>
  <si>
    <t>E/F trip</t>
  </si>
  <si>
    <t>2024-06-01</t>
  </si>
  <si>
    <t>16:50</t>
  </si>
  <si>
    <t>080/24</t>
  </si>
  <si>
    <t>Woodhall T3 LV CB H30</t>
  </si>
  <si>
    <t>LV CB Close block</t>
  </si>
  <si>
    <t>2024-06-04</t>
  </si>
  <si>
    <t>05:07</t>
  </si>
  <si>
    <t>082/24</t>
  </si>
  <si>
    <t>Lobatse T2A HV CB 210</t>
  </si>
  <si>
    <t>Tripped; Load loss</t>
  </si>
  <si>
    <t>Lobatse T2A LV CB 2H0</t>
  </si>
  <si>
    <t>2024-06-07</t>
  </si>
  <si>
    <t>2024-06-17</t>
  </si>
  <si>
    <t>09:41</t>
  </si>
  <si>
    <t>083/24</t>
  </si>
  <si>
    <t>11:08</t>
  </si>
  <si>
    <t>Maun T1 LV CB 1T0</t>
  </si>
  <si>
    <t>09:45</t>
  </si>
  <si>
    <t>Maun T2 HV CB 210</t>
  </si>
  <si>
    <t>10:59</t>
  </si>
  <si>
    <t>Master trip; Main protection operated</t>
  </si>
  <si>
    <t>Maun T2 LV CB 2T0</t>
  </si>
  <si>
    <t>11:05</t>
  </si>
  <si>
    <t>2024-06-28</t>
  </si>
  <si>
    <t>15:03</t>
  </si>
  <si>
    <t>084/24</t>
  </si>
  <si>
    <t>Ghanzi T1 HV CB 110</t>
  </si>
  <si>
    <t>15:25</t>
  </si>
  <si>
    <t>SCADA/Rasefako</t>
  </si>
  <si>
    <t>Main Trip Circuit Fail; Load loss (17.9 MW)</t>
  </si>
  <si>
    <t>Ghanzi T1 LV CB 1H0</t>
  </si>
  <si>
    <t>HV trip received</t>
  </si>
  <si>
    <t>Ghanzi Bus Section CB 1S0</t>
  </si>
  <si>
    <t>Buszone protection ABC</t>
  </si>
  <si>
    <t>2024-07-04</t>
  </si>
  <si>
    <t>085/24</t>
  </si>
  <si>
    <t>FWST</t>
  </si>
  <si>
    <t>FWST T2A LV CB 2H0A</t>
  </si>
  <si>
    <t>18:33</t>
  </si>
  <si>
    <t>Overload due to T1A outage; 75% load restored</t>
  </si>
  <si>
    <t>2024-07-05</t>
  </si>
  <si>
    <t>06:26</t>
  </si>
  <si>
    <t>086/24</t>
  </si>
  <si>
    <t>Tlokweng T1 HV CB 110</t>
  </si>
  <si>
    <t>09:35</t>
  </si>
  <si>
    <t>Master trip; winding &amp; REF trip</t>
  </si>
  <si>
    <t>Tlokweng T1 LV CB 1HO</t>
  </si>
  <si>
    <t>2024-07-08</t>
  </si>
  <si>
    <t>06:23</t>
  </si>
  <si>
    <t>089/24</t>
  </si>
  <si>
    <t>F/Town 11kV Bus Section CB 1SO</t>
  </si>
  <si>
    <t>07:49</t>
  </si>
  <si>
    <t>Tripped; Load loss (7.55 MW)</t>
  </si>
  <si>
    <t>2024-07-19</t>
  </si>
  <si>
    <t>093/24</t>
  </si>
  <si>
    <t>2024-07-27</t>
  </si>
  <si>
    <t>10:02</t>
  </si>
  <si>
    <t>096/24</t>
  </si>
  <si>
    <t>REF &amp; Winding trip; Surge arrester blown</t>
  </si>
  <si>
    <t>Tlokweng T2 LV CB 2H0</t>
  </si>
  <si>
    <t>E/F trip; Load loss (8.5 MW)</t>
  </si>
  <si>
    <t>2024-08-29</t>
  </si>
  <si>
    <t>02:18</t>
  </si>
  <si>
    <t>098/24</t>
  </si>
  <si>
    <t>LV Restricted Earth Fault; Through fault from CSS</t>
  </si>
  <si>
    <t>2024-09-04</t>
  </si>
  <si>
    <t>05:58</t>
  </si>
  <si>
    <t>102/24</t>
  </si>
  <si>
    <t>17:45</t>
  </si>
  <si>
    <t>103/24</t>
  </si>
  <si>
    <t>2024-09-12</t>
  </si>
  <si>
    <t>08:54</t>
  </si>
  <si>
    <t>Jwaneng T8 LV CB</t>
  </si>
  <si>
    <t>Orapa 220/33kV T1 LV CB 1H0</t>
  </si>
  <si>
    <t>2024-09-15</t>
  </si>
  <si>
    <t>08:01</t>
  </si>
  <si>
    <t>105/24</t>
  </si>
  <si>
    <t>Zone 5 – Bosetu</t>
  </si>
  <si>
    <t>T1 LV CB 1T0</t>
  </si>
  <si>
    <t>12:57</t>
  </si>
  <si>
    <t>T2 LV CB 2T0</t>
  </si>
  <si>
    <t>2024-09-20</t>
  </si>
  <si>
    <t>107/24</t>
  </si>
  <si>
    <t>Duplicate of 104/24</t>
  </si>
  <si>
    <t>2024-09-28</t>
  </si>
  <si>
    <t>17:41</t>
  </si>
  <si>
    <t>109/24</t>
  </si>
  <si>
    <t>WoodHall</t>
  </si>
  <si>
    <t>WoodHall T1A &amp; T2A LV CBs</t>
  </si>
  <si>
    <t>20:28</t>
  </si>
  <si>
    <t>SCADA/Kaloso</t>
  </si>
  <si>
    <t>HV O/C trip; Load loss (2.1 MW)</t>
  </si>
  <si>
    <t>2024-10-11</t>
  </si>
  <si>
    <t>112/24</t>
  </si>
  <si>
    <t>17:17</t>
  </si>
  <si>
    <t>Jwaneng T8 LV CB 8H0</t>
  </si>
  <si>
    <t>2024-10-14</t>
  </si>
  <si>
    <t>19:41</t>
  </si>
  <si>
    <t>F/Town West T2A LV CB 1HOA</t>
  </si>
  <si>
    <t>21:15</t>
  </si>
  <si>
    <t>Master trip; Load loss (7.8 MW)</t>
  </si>
  <si>
    <t>2024-10-16</t>
  </si>
  <si>
    <t>04:18</t>
  </si>
  <si>
    <t>113/24</t>
  </si>
  <si>
    <t>G/Enclave</t>
  </si>
  <si>
    <t>G/Enclave T1 LV CB 1H0</t>
  </si>
  <si>
    <t>05:39</t>
  </si>
  <si>
    <t>Phase trip; Bus Section CB also tripped</t>
  </si>
  <si>
    <t>G/Enclave T2 LV CB 2H0</t>
  </si>
  <si>
    <t>11kV Bus Section CB 1SO</t>
  </si>
  <si>
    <t>Tripped (not updating on SCADA)</t>
  </si>
  <si>
    <t>2024-11-10</t>
  </si>
  <si>
    <t>23:36</t>
  </si>
  <si>
    <t>137/24</t>
  </si>
  <si>
    <t>Gaphatshwa T2 LV CB H20</t>
  </si>
  <si>
    <t>12:40</t>
  </si>
  <si>
    <t>2024-11-24</t>
  </si>
  <si>
    <t>20:16</t>
  </si>
  <si>
    <t>21:35</t>
  </si>
  <si>
    <t>154/24</t>
  </si>
  <si>
    <t>Gaphatshwa T3 LV CB 3H0</t>
  </si>
  <si>
    <t>21:34</t>
  </si>
  <si>
    <t>SCADA/Madubeko</t>
  </si>
  <si>
    <t>Tripped; Load loss (5 MW)</t>
  </si>
  <si>
    <t>Gaphatshwa T4 LV CB 4H0</t>
  </si>
  <si>
    <t>18:59</t>
  </si>
  <si>
    <t>2024-12-01</t>
  </si>
  <si>
    <t>15:38</t>
  </si>
  <si>
    <t>161/24</t>
  </si>
  <si>
    <t>SCADA / Likokotlo</t>
  </si>
  <si>
    <t>S/Phikwe 220/11kV Transformer 1 LV CB A2TO</t>
  </si>
  <si>
    <t>S/Phikwe 220/11kV Transformer 3 LV CB A1TO</t>
  </si>
  <si>
    <t>2024-12-06</t>
  </si>
  <si>
    <t>163/24</t>
  </si>
  <si>
    <t>07:43</t>
  </si>
  <si>
    <t>SCADA / Boiditswe</t>
  </si>
  <si>
    <t>11kV Inter trip send, Master trip</t>
  </si>
  <si>
    <t>2024-12-10</t>
  </si>
  <si>
    <t>SCADA / Kaloso</t>
  </si>
  <si>
    <t>166/24</t>
  </si>
  <si>
    <t>Maun 132/11kV T2 HV &amp; LV CBs 210 &amp; 2TO</t>
  </si>
  <si>
    <t>23:57</t>
  </si>
  <si>
    <t>Earth fault &amp; Master trip; Loss of supply to Maun and surrounding areas</t>
  </si>
  <si>
    <t>2024-12-14</t>
  </si>
  <si>
    <t>15:52</t>
  </si>
  <si>
    <t>169/24</t>
  </si>
  <si>
    <t>Woodhall T1A 11kV CB 1HO</t>
  </si>
  <si>
    <t>16:40</t>
  </si>
  <si>
    <t>HV O/C Low set trip &amp; I/T Rec; Load loss to Lobatse (2.2 MW)</t>
  </si>
  <si>
    <t>Woodhall T2A 11kV CB 2HO</t>
  </si>
  <si>
    <t>17:02</t>
  </si>
  <si>
    <t>TX protection trip &amp; 11kV I/T Rec</t>
  </si>
  <si>
    <t>SCADA / Chabalala</t>
  </si>
  <si>
    <t>2024-12-31</t>
  </si>
  <si>
    <t>18:15</t>
  </si>
  <si>
    <t>188/24</t>
  </si>
  <si>
    <t>Woodhall T1A: 11kV CB 1H0</t>
  </si>
  <si>
    <t>BUS ZONE, TRIP ZONE1, CB FAIL TRIP</t>
  </si>
  <si>
    <t>19:11</t>
  </si>
  <si>
    <t>Woodhall T4: 33kV CB H40</t>
  </si>
  <si>
    <t>104/25</t>
  </si>
  <si>
    <t>2025-01-26</t>
  </si>
  <si>
    <t>05:37</t>
  </si>
  <si>
    <t>020.1/25</t>
  </si>
  <si>
    <t>Woodhall T1A LV CB 1H0</t>
  </si>
  <si>
    <t>07:46</t>
  </si>
  <si>
    <t>HV O/C Low set &amp; Standby E/F High set; CSS reported fallen 11kV conductors; Load loss 1.8 MW</t>
  </si>
  <si>
    <t>2025-02-10</t>
  </si>
  <si>
    <t>09:22</t>
  </si>
  <si>
    <t>067/25</t>
  </si>
  <si>
    <t>Tlokweng 132/11kV T2 LV CB 2H0</t>
  </si>
  <si>
    <t>2025-02-19</t>
  </si>
  <si>
    <t>12:26</t>
  </si>
  <si>
    <t>061/25</t>
  </si>
  <si>
    <t>Gaphwatshwa</t>
  </si>
  <si>
    <t>Gaphwatshwa 132/33kV T2 LV CB H20</t>
  </si>
  <si>
    <t>LV O/C &amp; E/F trip; Master trip</t>
  </si>
  <si>
    <t>062/25</t>
  </si>
  <si>
    <t>Broadhurst</t>
  </si>
  <si>
    <t>Broadhurst 132/33kV LV CB 4T0</t>
  </si>
  <si>
    <t>2025-02-28</t>
  </si>
  <si>
    <t>11:20</t>
  </si>
  <si>
    <t>072/25</t>
  </si>
  <si>
    <t>12:30</t>
  </si>
  <si>
    <t>SCADA / A. Mangole</t>
  </si>
  <si>
    <t>Mogoditshane 132/11kV T4 LV CB 4HO</t>
  </si>
  <si>
    <t>075/25</t>
  </si>
  <si>
    <t>Kanye 132/11kV Tx 2 LV CB 2HO</t>
  </si>
  <si>
    <t>3Ph T + L/O</t>
  </si>
  <si>
    <t>078/25</t>
  </si>
  <si>
    <t>077/25</t>
  </si>
  <si>
    <t>SCADA / R. Galetshetse</t>
  </si>
  <si>
    <t>Government Enclave, 132/11kV T1</t>
  </si>
  <si>
    <t>Government Enclave 132/11kV T1 LV CB 1HO</t>
  </si>
  <si>
    <t>084/25</t>
  </si>
  <si>
    <t>F/Town West 132/11kV Tx 2A LV CB 2HOB</t>
  </si>
  <si>
    <t>LV OC &amp; EF Relay: Trip. LV master trip operated</t>
  </si>
  <si>
    <t>Francistown 220/11kV TX 1B LV CB 1TOB</t>
  </si>
  <si>
    <t>SCADA / Magola</t>
  </si>
  <si>
    <t>F/town, 220/11kV TX 1B LV side; Ground to neutral, O/C trip</t>
  </si>
  <si>
    <t>Francistown 220/11kV TX 1A LV CB 1TOA</t>
  </si>
  <si>
    <t>F/town, 220/11kV TX 1A LV side; Backup protection trip</t>
  </si>
  <si>
    <t>88/25</t>
  </si>
  <si>
    <t>Orapa 2 220/33kV T1 LV CB H08</t>
  </si>
  <si>
    <t>LoStage E/F operated; Letlhakane Village feeder OHL conductor broken</t>
  </si>
  <si>
    <t>091/25</t>
  </si>
  <si>
    <t>Gaphatshwa 132/11kV Transformer 4 LV CB 4HO</t>
  </si>
  <si>
    <t>Normal</t>
  </si>
  <si>
    <t>Over voltage, Master trip operated</t>
  </si>
  <si>
    <t>Gaphatshwa 132/11kV Transformer 3 LV CB 3HO</t>
  </si>
  <si>
    <t>095/25</t>
  </si>
  <si>
    <t>Jwaneng 132/33kV Transformer 9 LV CB 9HO</t>
  </si>
  <si>
    <t>Through fault from CSS Feeder 4L5 (failed to trip); restored after isolation</t>
  </si>
  <si>
    <t>097/25</t>
  </si>
  <si>
    <t>Buszone trip; Mine Feeder 5 tripped on O/C, E/F</t>
  </si>
  <si>
    <t>098/25</t>
  </si>
  <si>
    <t>102/25</t>
  </si>
  <si>
    <t>099/25</t>
  </si>
  <si>
    <t>Broadhurst 132/11kV TRF 1 LV CB 3H0</t>
  </si>
  <si>
    <t>Overcurrent trip; Zone 2 trip, underfrequency relay</t>
  </si>
  <si>
    <t>Broadhurst 132/11kV TRF 2 LV CB 4HO</t>
  </si>
  <si>
    <t xml:space="preserve">  11:51</t>
  </si>
  <si>
    <t>Underfrequency relay trip</t>
  </si>
  <si>
    <t>Mochudi</t>
  </si>
  <si>
    <t>Mochudi 132/33kV Transformer 1 LV CB 110</t>
  </si>
  <si>
    <t>SCADA / E. Ntoko</t>
  </si>
  <si>
    <t>Earth fault</t>
  </si>
  <si>
    <t>103/25</t>
  </si>
  <si>
    <t>Jwaneng 132/33kV Tx 9 LV CB 9HO</t>
  </si>
  <si>
    <t>Sunny</t>
  </si>
  <si>
    <t>Jwaneng 132/33kV Tx 8 LV CB 8HO</t>
  </si>
  <si>
    <t>SCADA / Mosarwe / Charles</t>
  </si>
  <si>
    <t>Buszone trip; baboons seen in substation, flash on 33kV busbar</t>
  </si>
  <si>
    <t>108/25</t>
  </si>
  <si>
    <t>Maun 132/11kV Transformer 1 LV CB 1T0</t>
  </si>
  <si>
    <t>Protection Trip, Current Relay operated</t>
  </si>
  <si>
    <t>Maun 11kV Bus Section CB 1S0</t>
  </si>
  <si>
    <t>Protection Trip</t>
  </si>
  <si>
    <t>123/25</t>
  </si>
  <si>
    <t>Phakalane 132/11kV Transformer 2 LV CB 2HOB</t>
  </si>
  <si>
    <t>Inter trip receive</t>
  </si>
  <si>
    <t>Phakalane 11kV Bussection CB 1SOB</t>
  </si>
  <si>
    <t>CB FAIL Right hand side</t>
  </si>
  <si>
    <t>128/25</t>
  </si>
  <si>
    <t>Kgame/Galetshetse</t>
  </si>
  <si>
    <t>Molepolole 132/33kV T1 LV CB H10</t>
  </si>
  <si>
    <t>LV Directional E/F Trip</t>
  </si>
  <si>
    <t>03:41</t>
  </si>
  <si>
    <t>03:17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</si>
</sst>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yyyy/mm/dd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20" fontId="0" fillId="0" borderId="10" xfId="0" quotePrefix="1" applyNumberFormat="1" applyBorder="1" applyAlignment="1">
      <alignment horizontal="right"/>
    </xf>
    <xf numFmtId="14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/>
    <xf numFmtId="20" fontId="0" fillId="0" borderId="10" xfId="0" applyNumberFormat="1" applyBorder="1" applyAlignment="1">
      <alignment horizontal="right"/>
    </xf>
    <xf numFmtId="20" fontId="0" fillId="0" borderId="10" xfId="0" applyNumberFormat="1" applyBorder="1"/>
    <xf numFmtId="22" fontId="0" fillId="0" borderId="10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20" fontId="0" fillId="0" borderId="12" xfId="0" quotePrefix="1" applyNumberFormat="1" applyBorder="1" applyAlignment="1">
      <alignment horizontal="right"/>
    </xf>
    <xf numFmtId="0" fontId="0" fillId="0" borderId="10" xfId="0" quotePrefix="1" applyBorder="1" applyAlignment="1">
      <alignment horizontal="right"/>
    </xf>
    <xf numFmtId="169" fontId="0" fillId="0" borderId="10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tabSelected="1" topLeftCell="A13" zoomScale="90" zoomScaleNormal="90" zoomScaleSheetLayoutView="50" workbookViewId="0">
      <selection activeCell="A45" sqref="A45:XFD45"/>
    </sheetView>
  </sheetViews>
  <sheetFormatPr defaultRowHeight="14.4" x14ac:dyDescent="0.3"/>
  <cols>
    <col min="1" max="1" width="12.5546875" customWidth="1"/>
    <col min="2" max="2" width="11.109375" customWidth="1"/>
    <col min="4" max="4" width="16.44140625" customWidth="1"/>
    <col min="5" max="5" width="44" bestFit="1" customWidth="1"/>
    <col min="6" max="6" width="17.6640625" customWidth="1"/>
    <col min="7" max="7" width="19.5546875" customWidth="1"/>
    <col min="8" max="8" width="13.6640625" customWidth="1"/>
    <col min="9" max="9" width="16.109375" customWidth="1"/>
    <col min="10" max="10" width="10.109375" customWidth="1"/>
    <col min="11" max="11" width="10.33203125" customWidth="1"/>
    <col min="12" max="12" width="21" bestFit="1" customWidth="1"/>
    <col min="13" max="13" width="70.33203125" customWidth="1"/>
    <col min="14" max="14" width="13.5546875" customWidth="1"/>
    <col min="16" max="16" width="12.88671875" customWidth="1"/>
  </cols>
  <sheetData>
    <row r="1" spans="1:16" x14ac:dyDescent="0.3">
      <c r="A1" s="1" t="s">
        <v>0</v>
      </c>
      <c r="B1" s="1" t="s">
        <v>85</v>
      </c>
      <c r="C1" s="1" t="s">
        <v>1</v>
      </c>
      <c r="D1" s="1" t="s">
        <v>2</v>
      </c>
      <c r="E1" s="1" t="s">
        <v>3</v>
      </c>
      <c r="F1" s="1" t="s">
        <v>286</v>
      </c>
      <c r="G1" s="1" t="s">
        <v>89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4" t="s">
        <v>9</v>
      </c>
      <c r="N1" s="1" t="s">
        <v>10</v>
      </c>
      <c r="O1" s="1" t="s">
        <v>11</v>
      </c>
      <c r="P1" s="1" t="s">
        <v>80</v>
      </c>
    </row>
    <row r="2" spans="1:16" x14ac:dyDescent="0.3">
      <c r="A2" s="2">
        <v>45078</v>
      </c>
      <c r="B2" s="5" t="s">
        <v>81</v>
      </c>
      <c r="C2" s="1" t="s">
        <v>18</v>
      </c>
      <c r="D2" s="1" t="s">
        <v>19</v>
      </c>
      <c r="E2" s="1" t="s">
        <v>90</v>
      </c>
      <c r="F2" s="1">
        <v>33</v>
      </c>
      <c r="G2" s="1" t="str">
        <f t="shared" ref="G2:G64" si="0">IF(F2&gt;=132,"Transmission",IF(F2&gt;=66,"Sub-Transmission","Distribution"))</f>
        <v>Distribution</v>
      </c>
      <c r="H2" s="1" t="s">
        <v>12</v>
      </c>
      <c r="I2" s="1" t="s">
        <v>13</v>
      </c>
      <c r="J2" s="5" t="s">
        <v>86</v>
      </c>
      <c r="K2" s="1">
        <v>0.7</v>
      </c>
      <c r="L2" s="1" t="s">
        <v>20</v>
      </c>
      <c r="M2" s="3" t="s">
        <v>21</v>
      </c>
      <c r="N2" s="1" t="s">
        <v>16</v>
      </c>
      <c r="O2" s="1" t="str">
        <f t="shared" ref="O2:O33" si="1">IF(K2&lt;=0.083,"Low",IF(K2&lt;= 0.5,"Medium",IF(K2&gt;0.5,"High")))</f>
        <v>High</v>
      </c>
      <c r="P2" s="1" t="str">
        <f t="shared" ref="P2:P64" si="2">IF(O2="Low","Transient",IF(O2="Medium","Sustained",IF(O2="High","Permanent")))</f>
        <v>Permanent</v>
      </c>
    </row>
    <row r="3" spans="1:16" x14ac:dyDescent="0.3">
      <c r="A3" s="2">
        <v>45078</v>
      </c>
      <c r="B3" s="10">
        <v>0.6479166666666667</v>
      </c>
      <c r="C3" s="1" t="s">
        <v>22</v>
      </c>
      <c r="D3" s="1" t="s">
        <v>23</v>
      </c>
      <c r="E3" s="1" t="s">
        <v>91</v>
      </c>
      <c r="F3" s="1">
        <v>33</v>
      </c>
      <c r="G3" s="1" t="str">
        <f t="shared" si="0"/>
        <v>Distribution</v>
      </c>
      <c r="H3" s="1" t="s">
        <v>17</v>
      </c>
      <c r="I3" s="1" t="s">
        <v>24</v>
      </c>
      <c r="J3" s="10">
        <v>0.6875</v>
      </c>
      <c r="K3" s="1">
        <v>0.95</v>
      </c>
      <c r="L3" s="1" t="s">
        <v>25</v>
      </c>
      <c r="M3" s="3" t="s">
        <v>26</v>
      </c>
      <c r="N3" s="1" t="s">
        <v>16</v>
      </c>
      <c r="O3" s="1" t="str">
        <f t="shared" si="1"/>
        <v>High</v>
      </c>
      <c r="P3" s="1" t="str">
        <f t="shared" si="2"/>
        <v>Permanent</v>
      </c>
    </row>
    <row r="4" spans="1:16" x14ac:dyDescent="0.3">
      <c r="A4" s="2">
        <v>45108</v>
      </c>
      <c r="B4" s="10">
        <v>0.4826388888888889</v>
      </c>
      <c r="C4" s="1" t="s">
        <v>27</v>
      </c>
      <c r="D4" s="1" t="s">
        <v>28</v>
      </c>
      <c r="E4" s="1" t="s">
        <v>92</v>
      </c>
      <c r="F4" s="1">
        <v>11</v>
      </c>
      <c r="G4" s="1" t="str">
        <f t="shared" si="0"/>
        <v>Distribution</v>
      </c>
      <c r="H4" s="1" t="s">
        <v>17</v>
      </c>
      <c r="I4" s="1" t="s">
        <v>13</v>
      </c>
      <c r="J4" s="10">
        <v>0.8305555555555556</v>
      </c>
      <c r="K4" s="1">
        <v>8.35</v>
      </c>
      <c r="L4" s="1" t="s">
        <v>15</v>
      </c>
      <c r="M4" s="3" t="s">
        <v>93</v>
      </c>
      <c r="N4" s="1" t="s">
        <v>16</v>
      </c>
      <c r="O4" s="1" t="str">
        <f t="shared" si="1"/>
        <v>High</v>
      </c>
      <c r="P4" s="1" t="str">
        <f t="shared" si="2"/>
        <v>Permanent</v>
      </c>
    </row>
    <row r="5" spans="1:16" x14ac:dyDescent="0.3">
      <c r="A5" s="7" t="s">
        <v>33</v>
      </c>
      <c r="B5" s="10">
        <v>0.78194444444444444</v>
      </c>
      <c r="C5" s="1" t="s">
        <v>34</v>
      </c>
      <c r="D5" s="1" t="s">
        <v>35</v>
      </c>
      <c r="E5" s="1" t="s">
        <v>94</v>
      </c>
      <c r="F5" s="1">
        <v>11</v>
      </c>
      <c r="G5" s="1" t="str">
        <f t="shared" si="0"/>
        <v>Distribution</v>
      </c>
      <c r="H5" s="1" t="s">
        <v>30</v>
      </c>
      <c r="I5" s="1" t="s">
        <v>36</v>
      </c>
      <c r="J5" s="10">
        <v>0.9784722222222223</v>
      </c>
      <c r="K5" s="1">
        <v>4.7169999999999996</v>
      </c>
      <c r="L5" s="1" t="s">
        <v>37</v>
      </c>
      <c r="M5" s="1"/>
      <c r="N5" s="1" t="s">
        <v>16</v>
      </c>
      <c r="O5" s="1" t="str">
        <f t="shared" si="1"/>
        <v>High</v>
      </c>
      <c r="P5" s="1" t="str">
        <f t="shared" si="2"/>
        <v>Permanent</v>
      </c>
    </row>
    <row r="6" spans="1:16" x14ac:dyDescent="0.3">
      <c r="A6" s="7" t="s">
        <v>38</v>
      </c>
      <c r="B6" s="10">
        <v>0.94305555555555554</v>
      </c>
      <c r="C6" s="1" t="s">
        <v>39</v>
      </c>
      <c r="D6" s="1" t="s">
        <v>23</v>
      </c>
      <c r="E6" s="1" t="s">
        <v>95</v>
      </c>
      <c r="F6" s="1">
        <v>33</v>
      </c>
      <c r="G6" s="1" t="str">
        <f t="shared" si="0"/>
        <v>Distribution</v>
      </c>
      <c r="H6" s="1" t="s">
        <v>30</v>
      </c>
      <c r="I6" s="1" t="s">
        <v>24</v>
      </c>
      <c r="J6" s="10">
        <v>0.97569444444444453</v>
      </c>
      <c r="K6" s="1">
        <v>0.85</v>
      </c>
      <c r="L6" s="1" t="s">
        <v>40</v>
      </c>
      <c r="M6" s="3" t="s">
        <v>117</v>
      </c>
      <c r="N6" s="1" t="s">
        <v>16</v>
      </c>
      <c r="O6" s="1" t="str">
        <f t="shared" si="1"/>
        <v>High</v>
      </c>
      <c r="P6" s="1" t="str">
        <f t="shared" si="2"/>
        <v>Permanent</v>
      </c>
    </row>
    <row r="7" spans="1:16" x14ac:dyDescent="0.3">
      <c r="A7" s="6">
        <v>45171</v>
      </c>
      <c r="B7" s="10">
        <v>0.66180555555555554</v>
      </c>
      <c r="C7" s="1" t="s">
        <v>46</v>
      </c>
      <c r="D7" s="1" t="s">
        <v>23</v>
      </c>
      <c r="E7" s="1" t="s">
        <v>47</v>
      </c>
      <c r="F7" s="1">
        <v>11</v>
      </c>
      <c r="G7" s="1" t="str">
        <f t="shared" si="0"/>
        <v>Distribution</v>
      </c>
      <c r="H7" s="1" t="s">
        <v>17</v>
      </c>
      <c r="I7" s="1" t="s">
        <v>13</v>
      </c>
      <c r="J7" s="10">
        <v>0.69791666666666663</v>
      </c>
      <c r="K7" s="1">
        <v>1.2</v>
      </c>
      <c r="L7" s="1" t="s">
        <v>48</v>
      </c>
      <c r="M7" s="1" t="s">
        <v>49</v>
      </c>
      <c r="N7" s="1" t="s">
        <v>45</v>
      </c>
      <c r="O7" s="1" t="str">
        <f t="shared" si="1"/>
        <v>High</v>
      </c>
      <c r="P7" s="1" t="str">
        <f t="shared" si="2"/>
        <v>Permanent</v>
      </c>
    </row>
    <row r="8" spans="1:16" x14ac:dyDescent="0.3">
      <c r="A8" s="6" t="s">
        <v>54</v>
      </c>
      <c r="B8" s="10">
        <v>0.97986111111111107</v>
      </c>
      <c r="C8" s="1" t="s">
        <v>55</v>
      </c>
      <c r="D8" s="1" t="s">
        <v>56</v>
      </c>
      <c r="E8" s="1" t="s">
        <v>96</v>
      </c>
      <c r="F8" s="1">
        <v>11</v>
      </c>
      <c r="G8" s="1" t="str">
        <f t="shared" si="0"/>
        <v>Distribution</v>
      </c>
      <c r="H8" s="1" t="s">
        <v>17</v>
      </c>
      <c r="I8" s="1" t="s">
        <v>36</v>
      </c>
      <c r="J8" s="5" t="s">
        <v>82</v>
      </c>
      <c r="K8" s="1">
        <v>0.81699999999999995</v>
      </c>
      <c r="L8" s="1" t="s">
        <v>57</v>
      </c>
      <c r="M8" s="1" t="s">
        <v>58</v>
      </c>
      <c r="N8" s="1" t="s">
        <v>45</v>
      </c>
      <c r="O8" s="1" t="str">
        <f t="shared" si="1"/>
        <v>High</v>
      </c>
      <c r="P8" s="1" t="str">
        <f t="shared" si="2"/>
        <v>Permanent</v>
      </c>
    </row>
    <row r="9" spans="1:16" x14ac:dyDescent="0.3">
      <c r="A9" s="7" t="s">
        <v>59</v>
      </c>
      <c r="B9" s="5" t="s">
        <v>83</v>
      </c>
      <c r="C9" s="1" t="s">
        <v>60</v>
      </c>
      <c r="D9" s="1" t="s">
        <v>56</v>
      </c>
      <c r="E9" s="1" t="s">
        <v>96</v>
      </c>
      <c r="F9" s="1">
        <v>11</v>
      </c>
      <c r="G9" s="1" t="str">
        <f t="shared" si="0"/>
        <v>Distribution</v>
      </c>
      <c r="H9" s="1" t="s">
        <v>17</v>
      </c>
      <c r="I9" s="1" t="s">
        <v>36</v>
      </c>
      <c r="J9" s="5" t="s">
        <v>87</v>
      </c>
      <c r="K9" s="1">
        <v>1.4</v>
      </c>
      <c r="L9" s="1" t="s">
        <v>57</v>
      </c>
      <c r="M9" s="1" t="s">
        <v>78</v>
      </c>
      <c r="N9" s="1" t="s">
        <v>45</v>
      </c>
      <c r="O9" s="1" t="str">
        <f t="shared" si="1"/>
        <v>High</v>
      </c>
      <c r="P9" s="1" t="str">
        <f t="shared" si="2"/>
        <v>Permanent</v>
      </c>
    </row>
    <row r="10" spans="1:16" x14ac:dyDescent="0.3">
      <c r="A10" s="7" t="s">
        <v>62</v>
      </c>
      <c r="B10" s="10">
        <v>0.57777777777777783</v>
      </c>
      <c r="C10" s="1" t="s">
        <v>63</v>
      </c>
      <c r="D10" s="1" t="s">
        <v>64</v>
      </c>
      <c r="E10" s="1" t="s">
        <v>97</v>
      </c>
      <c r="F10" s="1">
        <v>11</v>
      </c>
      <c r="G10" s="1" t="str">
        <f t="shared" si="0"/>
        <v>Distribution</v>
      </c>
      <c r="H10" s="1" t="s">
        <v>30</v>
      </c>
      <c r="I10" s="1" t="s">
        <v>24</v>
      </c>
      <c r="J10" s="10">
        <v>0.60833333333333328</v>
      </c>
      <c r="K10" s="1">
        <v>0.73</v>
      </c>
      <c r="L10" s="1" t="s">
        <v>65</v>
      </c>
      <c r="M10" s="1" t="s">
        <v>66</v>
      </c>
      <c r="N10" s="1" t="s">
        <v>61</v>
      </c>
      <c r="O10" s="1" t="str">
        <f t="shared" si="1"/>
        <v>High</v>
      </c>
      <c r="P10" s="1" t="str">
        <f t="shared" si="2"/>
        <v>Permanent</v>
      </c>
    </row>
    <row r="11" spans="1:16" ht="13.95" customHeight="1" x14ac:dyDescent="0.3">
      <c r="A11" s="7" t="s">
        <v>67</v>
      </c>
      <c r="B11" s="10">
        <v>0.74444444444444446</v>
      </c>
      <c r="C11" s="1" t="s">
        <v>69</v>
      </c>
      <c r="D11" s="1" t="s">
        <v>70</v>
      </c>
      <c r="E11" s="1" t="s">
        <v>98</v>
      </c>
      <c r="F11" s="1">
        <v>11</v>
      </c>
      <c r="G11" s="1" t="str">
        <f t="shared" si="0"/>
        <v>Distribution</v>
      </c>
      <c r="H11" s="1" t="s">
        <v>12</v>
      </c>
      <c r="I11" s="1" t="s">
        <v>13</v>
      </c>
      <c r="J11" s="10">
        <v>0.77777777777777779</v>
      </c>
      <c r="K11" s="1">
        <v>0.8</v>
      </c>
      <c r="L11" s="1" t="s">
        <v>71</v>
      </c>
      <c r="M11" s="1" t="s">
        <v>72</v>
      </c>
      <c r="N11" s="1" t="s">
        <v>61</v>
      </c>
      <c r="O11" s="1" t="str">
        <f t="shared" si="1"/>
        <v>High</v>
      </c>
      <c r="P11" s="1" t="str">
        <f t="shared" si="2"/>
        <v>Permanent</v>
      </c>
    </row>
    <row r="12" spans="1:16" x14ac:dyDescent="0.3">
      <c r="A12" s="7" t="s">
        <v>75</v>
      </c>
      <c r="B12" s="5" t="s">
        <v>84</v>
      </c>
      <c r="C12" s="1" t="s">
        <v>76</v>
      </c>
      <c r="D12" s="1" t="s">
        <v>35</v>
      </c>
      <c r="E12" s="1" t="s">
        <v>99</v>
      </c>
      <c r="F12" s="1">
        <v>33</v>
      </c>
      <c r="G12" s="1" t="str">
        <f t="shared" si="0"/>
        <v>Distribution</v>
      </c>
      <c r="H12" s="1" t="s">
        <v>12</v>
      </c>
      <c r="I12" s="1" t="s">
        <v>36</v>
      </c>
      <c r="J12" s="1" t="s">
        <v>14</v>
      </c>
      <c r="K12" s="1">
        <v>0</v>
      </c>
      <c r="L12" s="1" t="s">
        <v>15</v>
      </c>
      <c r="M12" s="1" t="s">
        <v>79</v>
      </c>
      <c r="N12" s="1" t="s">
        <v>61</v>
      </c>
      <c r="O12" s="1" t="str">
        <f t="shared" si="1"/>
        <v>Low</v>
      </c>
      <c r="P12" s="1" t="str">
        <f t="shared" si="2"/>
        <v>Transient</v>
      </c>
    </row>
    <row r="13" spans="1:16" x14ac:dyDescent="0.3">
      <c r="A13" s="7" t="s">
        <v>100</v>
      </c>
      <c r="B13" s="10">
        <v>0.14305555555555557</v>
      </c>
      <c r="C13" s="1" t="s">
        <v>101</v>
      </c>
      <c r="D13" s="1" t="s">
        <v>102</v>
      </c>
      <c r="E13" s="1" t="s">
        <v>103</v>
      </c>
      <c r="F13" s="7">
        <v>11</v>
      </c>
      <c r="G13" s="1" t="str">
        <f t="shared" si="0"/>
        <v>Distribution</v>
      </c>
      <c r="H13" s="1" t="s">
        <v>12</v>
      </c>
      <c r="I13" s="1" t="s">
        <v>13</v>
      </c>
      <c r="J13" s="10">
        <v>0.23750000000000002</v>
      </c>
      <c r="K13" s="1">
        <v>1.27</v>
      </c>
      <c r="L13" s="1" t="s">
        <v>51</v>
      </c>
      <c r="M13" s="1" t="s">
        <v>104</v>
      </c>
      <c r="N13" s="1" t="s">
        <v>105</v>
      </c>
      <c r="O13" s="1" t="str">
        <f t="shared" si="1"/>
        <v>High</v>
      </c>
      <c r="P13" s="1" t="str">
        <f t="shared" si="2"/>
        <v>Permanent</v>
      </c>
    </row>
    <row r="14" spans="1:16" x14ac:dyDescent="0.3">
      <c r="A14" s="7" t="s">
        <v>100</v>
      </c>
      <c r="B14" s="10">
        <v>0.14305555555555557</v>
      </c>
      <c r="C14" s="1" t="s">
        <v>101</v>
      </c>
      <c r="D14" s="1" t="s">
        <v>102</v>
      </c>
      <c r="E14" s="1" t="s">
        <v>106</v>
      </c>
      <c r="F14" s="7">
        <v>11</v>
      </c>
      <c r="G14" s="1" t="str">
        <f t="shared" si="0"/>
        <v>Distribution</v>
      </c>
      <c r="H14" s="1" t="s">
        <v>12</v>
      </c>
      <c r="I14" s="1" t="s">
        <v>13</v>
      </c>
      <c r="J14" s="10">
        <v>0.23750000000000002</v>
      </c>
      <c r="K14" s="1">
        <v>1.27</v>
      </c>
      <c r="L14" s="1" t="s">
        <v>51</v>
      </c>
      <c r="M14" s="1" t="s">
        <v>104</v>
      </c>
      <c r="N14" s="1" t="s">
        <v>105</v>
      </c>
      <c r="O14" s="1" t="str">
        <f t="shared" si="1"/>
        <v>High</v>
      </c>
      <c r="P14" s="1" t="str">
        <f t="shared" si="2"/>
        <v>Permanent</v>
      </c>
    </row>
    <row r="15" spans="1:16" x14ac:dyDescent="0.3">
      <c r="A15" s="7" t="s">
        <v>100</v>
      </c>
      <c r="B15" s="10">
        <v>0.31597222222222221</v>
      </c>
      <c r="C15" s="1" t="s">
        <v>107</v>
      </c>
      <c r="D15" s="1" t="s">
        <v>102</v>
      </c>
      <c r="E15" s="1" t="s">
        <v>103</v>
      </c>
      <c r="F15" s="7">
        <v>11</v>
      </c>
      <c r="G15" s="1" t="str">
        <f t="shared" si="0"/>
        <v>Distribution</v>
      </c>
      <c r="H15" s="1" t="s">
        <v>12</v>
      </c>
      <c r="I15" s="1" t="s">
        <v>13</v>
      </c>
      <c r="J15" s="10">
        <v>0.34652777777777777</v>
      </c>
      <c r="K15" s="1">
        <v>0.73</v>
      </c>
      <c r="L15" s="1" t="s">
        <v>51</v>
      </c>
      <c r="M15" s="1" t="s">
        <v>108</v>
      </c>
      <c r="N15" s="1" t="s">
        <v>105</v>
      </c>
      <c r="O15" s="1" t="str">
        <f t="shared" si="1"/>
        <v>High</v>
      </c>
      <c r="P15" s="1" t="str">
        <f t="shared" si="2"/>
        <v>Permanent</v>
      </c>
    </row>
    <row r="16" spans="1:16" x14ac:dyDescent="0.3">
      <c r="A16" s="7" t="s">
        <v>100</v>
      </c>
      <c r="B16" s="10">
        <v>0.31597222222222221</v>
      </c>
      <c r="C16" s="1" t="s">
        <v>107</v>
      </c>
      <c r="D16" s="1" t="s">
        <v>102</v>
      </c>
      <c r="E16" s="1" t="s">
        <v>106</v>
      </c>
      <c r="F16" s="7">
        <v>11</v>
      </c>
      <c r="G16" s="1" t="str">
        <f t="shared" si="0"/>
        <v>Distribution</v>
      </c>
      <c r="H16" s="1" t="s">
        <v>12</v>
      </c>
      <c r="I16" s="1" t="s">
        <v>13</v>
      </c>
      <c r="J16" s="10">
        <v>0.34652777777777777</v>
      </c>
      <c r="K16" s="1">
        <v>0.73</v>
      </c>
      <c r="L16" s="1" t="s">
        <v>51</v>
      </c>
      <c r="M16" s="1" t="s">
        <v>108</v>
      </c>
      <c r="N16" s="1" t="s">
        <v>105</v>
      </c>
      <c r="O16" s="1" t="str">
        <f t="shared" si="1"/>
        <v>High</v>
      </c>
      <c r="P16" s="1" t="str">
        <f t="shared" si="2"/>
        <v>Permanent</v>
      </c>
    </row>
    <row r="17" spans="1:16" x14ac:dyDescent="0.3">
      <c r="A17" s="2">
        <v>45111</v>
      </c>
      <c r="B17" s="10">
        <v>0.33819444444444446</v>
      </c>
      <c r="C17" s="1" t="s">
        <v>73</v>
      </c>
      <c r="D17" s="1" t="s">
        <v>111</v>
      </c>
      <c r="E17" s="1" t="s">
        <v>112</v>
      </c>
      <c r="F17" s="7">
        <v>11</v>
      </c>
      <c r="G17" s="1" t="str">
        <f t="shared" si="0"/>
        <v>Distribution</v>
      </c>
      <c r="H17" s="1" t="s">
        <v>12</v>
      </c>
      <c r="I17" s="1" t="s">
        <v>13</v>
      </c>
      <c r="J17" s="10">
        <v>0.37638888888888888</v>
      </c>
      <c r="K17" s="1">
        <v>0.95</v>
      </c>
      <c r="L17" s="1" t="s">
        <v>113</v>
      </c>
      <c r="M17" s="1"/>
      <c r="N17" s="1" t="s">
        <v>105</v>
      </c>
      <c r="O17" s="1" t="str">
        <f t="shared" si="1"/>
        <v>High</v>
      </c>
      <c r="P17" s="1" t="str">
        <f t="shared" si="2"/>
        <v>Permanent</v>
      </c>
    </row>
    <row r="18" spans="1:16" x14ac:dyDescent="0.3">
      <c r="A18" s="2">
        <v>45111</v>
      </c>
      <c r="B18" s="10">
        <v>0.33819444444444446</v>
      </c>
      <c r="C18" s="1" t="s">
        <v>73</v>
      </c>
      <c r="D18" s="1" t="s">
        <v>111</v>
      </c>
      <c r="E18" s="1" t="s">
        <v>114</v>
      </c>
      <c r="F18" s="7">
        <v>11</v>
      </c>
      <c r="G18" s="1" t="str">
        <f t="shared" si="0"/>
        <v>Distribution</v>
      </c>
      <c r="H18" s="1" t="s">
        <v>12</v>
      </c>
      <c r="I18" s="1" t="s">
        <v>13</v>
      </c>
      <c r="J18" s="10">
        <v>0.375</v>
      </c>
      <c r="K18" s="1">
        <v>0.92</v>
      </c>
      <c r="L18" s="1" t="s">
        <v>15</v>
      </c>
      <c r="M18" s="1"/>
      <c r="N18" s="1" t="s">
        <v>105</v>
      </c>
      <c r="O18" s="1" t="str">
        <f t="shared" si="1"/>
        <v>High</v>
      </c>
      <c r="P18" s="1" t="str">
        <f t="shared" si="2"/>
        <v>Permanent</v>
      </c>
    </row>
    <row r="19" spans="1:16" ht="13.95" customHeight="1" x14ac:dyDescent="0.3">
      <c r="A19" s="2">
        <v>45111</v>
      </c>
      <c r="B19" s="10">
        <v>0.33819444444444446</v>
      </c>
      <c r="C19" s="1" t="s">
        <v>73</v>
      </c>
      <c r="D19" s="1" t="s">
        <v>115</v>
      </c>
      <c r="E19" s="1" t="s">
        <v>116</v>
      </c>
      <c r="F19" s="7">
        <v>33</v>
      </c>
      <c r="G19" s="1" t="str">
        <f t="shared" si="0"/>
        <v>Distribution</v>
      </c>
      <c r="H19" s="1" t="s">
        <v>12</v>
      </c>
      <c r="I19" s="1" t="s">
        <v>13</v>
      </c>
      <c r="J19" s="10">
        <v>0.3756944444444445</v>
      </c>
      <c r="K19" s="1">
        <v>0.93</v>
      </c>
      <c r="L19" s="1" t="s">
        <v>15</v>
      </c>
      <c r="M19" s="1"/>
      <c r="N19" s="1" t="s">
        <v>105</v>
      </c>
      <c r="O19" s="1" t="str">
        <f t="shared" si="1"/>
        <v>High</v>
      </c>
      <c r="P19" s="1" t="str">
        <f t="shared" si="2"/>
        <v>Permanent</v>
      </c>
    </row>
    <row r="20" spans="1:16" x14ac:dyDescent="0.3">
      <c r="A20" s="2">
        <v>45111</v>
      </c>
      <c r="B20" s="10">
        <v>0.33819444444444446</v>
      </c>
      <c r="C20" s="1" t="s">
        <v>73</v>
      </c>
      <c r="D20" s="1" t="s">
        <v>115</v>
      </c>
      <c r="E20" s="1" t="s">
        <v>118</v>
      </c>
      <c r="F20" s="7">
        <v>33</v>
      </c>
      <c r="G20" s="1" t="str">
        <f t="shared" si="0"/>
        <v>Distribution</v>
      </c>
      <c r="H20" s="1" t="s">
        <v>12</v>
      </c>
      <c r="I20" s="1" t="s">
        <v>13</v>
      </c>
      <c r="J20" s="10">
        <v>0.3756944444444445</v>
      </c>
      <c r="K20" s="1">
        <v>0.93</v>
      </c>
      <c r="L20" s="1" t="s">
        <v>15</v>
      </c>
      <c r="M20" s="1"/>
      <c r="N20" s="1" t="s">
        <v>105</v>
      </c>
      <c r="O20" s="1" t="str">
        <f t="shared" si="1"/>
        <v>High</v>
      </c>
      <c r="P20" s="1" t="str">
        <f t="shared" si="2"/>
        <v>Permanent</v>
      </c>
    </row>
    <row r="21" spans="1:16" x14ac:dyDescent="0.3">
      <c r="A21" s="2">
        <v>45234</v>
      </c>
      <c r="B21" s="10">
        <v>0.13680555555555554</v>
      </c>
      <c r="C21" s="1" t="s">
        <v>122</v>
      </c>
      <c r="D21" s="1" t="s">
        <v>121</v>
      </c>
      <c r="E21" s="1" t="s">
        <v>123</v>
      </c>
      <c r="F21" s="7">
        <v>12</v>
      </c>
      <c r="G21" s="1" t="str">
        <f t="shared" si="0"/>
        <v>Distribution</v>
      </c>
      <c r="H21" s="1" t="s">
        <v>30</v>
      </c>
      <c r="I21" s="1" t="s">
        <v>13</v>
      </c>
      <c r="J21" s="10">
        <v>0.45208333333333334</v>
      </c>
      <c r="K21" s="1">
        <v>7.57</v>
      </c>
      <c r="L21" s="1" t="s">
        <v>124</v>
      </c>
      <c r="M21" s="1" t="s">
        <v>125</v>
      </c>
      <c r="N21" s="1" t="s">
        <v>105</v>
      </c>
      <c r="O21" s="1" t="str">
        <f t="shared" si="1"/>
        <v>High</v>
      </c>
      <c r="P21" s="1" t="str">
        <f t="shared" si="2"/>
        <v>Permanent</v>
      </c>
    </row>
    <row r="22" spans="1:16" x14ac:dyDescent="0.3">
      <c r="A22" s="7" t="s">
        <v>128</v>
      </c>
      <c r="B22" s="10">
        <v>0.72152777777777777</v>
      </c>
      <c r="C22" s="1" t="s">
        <v>129</v>
      </c>
      <c r="D22" s="1" t="s">
        <v>19</v>
      </c>
      <c r="E22" s="1" t="s">
        <v>130</v>
      </c>
      <c r="F22" s="7">
        <v>33</v>
      </c>
      <c r="G22" s="1" t="str">
        <f t="shared" si="0"/>
        <v>Distribution</v>
      </c>
      <c r="H22" s="1" t="s">
        <v>12</v>
      </c>
      <c r="I22" s="1" t="s">
        <v>13</v>
      </c>
      <c r="J22" s="10">
        <v>0.75138888888888899</v>
      </c>
      <c r="K22" s="1">
        <v>0.72</v>
      </c>
      <c r="L22" s="1" t="s">
        <v>131</v>
      </c>
      <c r="M22" s="1" t="s">
        <v>132</v>
      </c>
      <c r="N22" s="1" t="s">
        <v>105</v>
      </c>
      <c r="O22" s="1" t="str">
        <f t="shared" si="1"/>
        <v>High</v>
      </c>
      <c r="P22" s="1" t="str">
        <f t="shared" si="2"/>
        <v>Permanent</v>
      </c>
    </row>
    <row r="23" spans="1:16" x14ac:dyDescent="0.3">
      <c r="A23" s="7" t="s">
        <v>128</v>
      </c>
      <c r="B23" s="10">
        <v>0.72152777777777777</v>
      </c>
      <c r="C23" s="1" t="s">
        <v>129</v>
      </c>
      <c r="D23" s="1" t="s">
        <v>19</v>
      </c>
      <c r="E23" s="1" t="s">
        <v>133</v>
      </c>
      <c r="F23" s="7">
        <v>33</v>
      </c>
      <c r="G23" s="1" t="str">
        <f t="shared" si="0"/>
        <v>Distribution</v>
      </c>
      <c r="H23" s="1" t="s">
        <v>12</v>
      </c>
      <c r="I23" s="1" t="s">
        <v>13</v>
      </c>
      <c r="J23" s="10">
        <v>0.75138888888888899</v>
      </c>
      <c r="K23" s="1">
        <v>0.72</v>
      </c>
      <c r="L23" s="1" t="s">
        <v>131</v>
      </c>
      <c r="M23" s="1" t="s">
        <v>132</v>
      </c>
      <c r="N23" s="1" t="s">
        <v>105</v>
      </c>
      <c r="O23" s="1" t="str">
        <f t="shared" si="1"/>
        <v>High</v>
      </c>
      <c r="P23" s="1" t="str">
        <f t="shared" si="2"/>
        <v>Permanent</v>
      </c>
    </row>
    <row r="24" spans="1:16" x14ac:dyDescent="0.3">
      <c r="A24" s="2">
        <v>45051</v>
      </c>
      <c r="B24" s="10">
        <v>0.63541666666666663</v>
      </c>
      <c r="C24" s="1" t="s">
        <v>134</v>
      </c>
      <c r="D24" s="1" t="s">
        <v>136</v>
      </c>
      <c r="E24" s="1" t="s">
        <v>137</v>
      </c>
      <c r="F24" s="1">
        <v>11</v>
      </c>
      <c r="G24" s="1" t="str">
        <f t="shared" si="0"/>
        <v>Distribution</v>
      </c>
      <c r="H24" s="1" t="s">
        <v>12</v>
      </c>
      <c r="I24" s="1" t="s">
        <v>13</v>
      </c>
      <c r="J24" s="10">
        <v>0.71180555555555547</v>
      </c>
      <c r="K24" s="1">
        <v>1.83</v>
      </c>
      <c r="L24" s="1" t="s">
        <v>126</v>
      </c>
      <c r="M24" s="1" t="s">
        <v>138</v>
      </c>
      <c r="N24" s="1" t="s">
        <v>135</v>
      </c>
      <c r="O24" s="1" t="str">
        <f t="shared" si="1"/>
        <v>High</v>
      </c>
      <c r="P24" s="1" t="str">
        <f t="shared" si="2"/>
        <v>Permanent</v>
      </c>
    </row>
    <row r="25" spans="1:16" x14ac:dyDescent="0.3">
      <c r="A25" s="2">
        <v>45051</v>
      </c>
      <c r="B25" s="10">
        <v>0.63541666666666663</v>
      </c>
      <c r="C25" s="1" t="s">
        <v>134</v>
      </c>
      <c r="D25" s="1" t="s">
        <v>115</v>
      </c>
      <c r="E25" s="1" t="s">
        <v>139</v>
      </c>
      <c r="F25" s="1">
        <v>11</v>
      </c>
      <c r="G25" s="1" t="str">
        <f t="shared" si="0"/>
        <v>Distribution</v>
      </c>
      <c r="H25" s="1" t="s">
        <v>12</v>
      </c>
      <c r="I25" s="1" t="s">
        <v>13</v>
      </c>
      <c r="J25" s="10">
        <v>0.71388888888888891</v>
      </c>
      <c r="K25" s="1">
        <v>1.88</v>
      </c>
      <c r="L25" s="1" t="s">
        <v>15</v>
      </c>
      <c r="M25" s="1" t="s">
        <v>140</v>
      </c>
      <c r="N25" s="1" t="s">
        <v>135</v>
      </c>
      <c r="O25" s="1" t="str">
        <f t="shared" si="1"/>
        <v>High</v>
      </c>
      <c r="P25" s="1" t="str">
        <f t="shared" si="2"/>
        <v>Permanent</v>
      </c>
    </row>
    <row r="26" spans="1:16" x14ac:dyDescent="0.3">
      <c r="A26" s="2">
        <v>45051</v>
      </c>
      <c r="B26" s="10">
        <v>0.63541666666666663</v>
      </c>
      <c r="C26" s="1" t="s">
        <v>134</v>
      </c>
      <c r="D26" s="1" t="s">
        <v>115</v>
      </c>
      <c r="E26" s="1" t="s">
        <v>141</v>
      </c>
      <c r="F26" s="1">
        <v>11</v>
      </c>
      <c r="G26" s="1" t="str">
        <f t="shared" si="0"/>
        <v>Distribution</v>
      </c>
      <c r="H26" s="1" t="s">
        <v>12</v>
      </c>
      <c r="I26" s="1" t="s">
        <v>13</v>
      </c>
      <c r="J26" s="10">
        <v>0.71736111111111101</v>
      </c>
      <c r="K26" s="1">
        <v>1.97</v>
      </c>
      <c r="L26" s="1" t="s">
        <v>15</v>
      </c>
      <c r="M26" s="1" t="s">
        <v>142</v>
      </c>
      <c r="N26" s="1" t="s">
        <v>135</v>
      </c>
      <c r="O26" s="1" t="str">
        <f t="shared" si="1"/>
        <v>High</v>
      </c>
      <c r="P26" s="1" t="str">
        <f t="shared" si="2"/>
        <v>Permanent</v>
      </c>
    </row>
    <row r="27" spans="1:16" x14ac:dyDescent="0.3">
      <c r="A27" s="2">
        <v>45051</v>
      </c>
      <c r="B27" s="10">
        <v>0.63541666666666663</v>
      </c>
      <c r="C27" s="1" t="s">
        <v>134</v>
      </c>
      <c r="D27" s="1" t="s">
        <v>115</v>
      </c>
      <c r="E27" s="1" t="s">
        <v>143</v>
      </c>
      <c r="F27" s="1">
        <v>11</v>
      </c>
      <c r="G27" s="1" t="str">
        <f t="shared" si="0"/>
        <v>Distribution</v>
      </c>
      <c r="H27" s="1" t="s">
        <v>12</v>
      </c>
      <c r="I27" s="1" t="s">
        <v>13</v>
      </c>
      <c r="J27" s="10">
        <v>0.71388888888888891</v>
      </c>
      <c r="K27" s="1">
        <v>1.88</v>
      </c>
      <c r="L27" s="1" t="s">
        <v>15</v>
      </c>
      <c r="M27" s="1" t="s">
        <v>140</v>
      </c>
      <c r="N27" s="1" t="s">
        <v>135</v>
      </c>
      <c r="O27" s="1" t="str">
        <f t="shared" si="1"/>
        <v>High</v>
      </c>
      <c r="P27" s="1" t="str">
        <f t="shared" si="2"/>
        <v>Permanent</v>
      </c>
    </row>
    <row r="28" spans="1:16" x14ac:dyDescent="0.3">
      <c r="A28" s="2">
        <v>45051</v>
      </c>
      <c r="B28" s="10">
        <v>0.63541666666666663</v>
      </c>
      <c r="C28" s="1" t="s">
        <v>134</v>
      </c>
      <c r="D28" s="1" t="s">
        <v>115</v>
      </c>
      <c r="E28" s="1" t="s">
        <v>144</v>
      </c>
      <c r="F28" s="1">
        <v>11</v>
      </c>
      <c r="G28" s="1" t="str">
        <f t="shared" si="0"/>
        <v>Distribution</v>
      </c>
      <c r="H28" s="1" t="s">
        <v>12</v>
      </c>
      <c r="I28" s="1" t="s">
        <v>13</v>
      </c>
      <c r="J28" s="10">
        <v>0.71736111111111101</v>
      </c>
      <c r="K28" s="1">
        <v>1.97</v>
      </c>
      <c r="L28" s="1" t="s">
        <v>15</v>
      </c>
      <c r="M28" s="1" t="s">
        <v>142</v>
      </c>
      <c r="N28" s="1" t="s">
        <v>135</v>
      </c>
      <c r="O28" s="1" t="str">
        <f t="shared" si="1"/>
        <v>High</v>
      </c>
      <c r="P28" s="1" t="str">
        <f t="shared" si="2"/>
        <v>Permanent</v>
      </c>
    </row>
    <row r="29" spans="1:16" x14ac:dyDescent="0.3">
      <c r="A29" s="2">
        <v>45143</v>
      </c>
      <c r="B29" s="10">
        <v>1.1111111111111112E-2</v>
      </c>
      <c r="C29" s="1" t="s">
        <v>146</v>
      </c>
      <c r="D29" s="1" t="s">
        <v>148</v>
      </c>
      <c r="E29" s="1" t="s">
        <v>149</v>
      </c>
      <c r="F29" s="1">
        <v>11</v>
      </c>
      <c r="G29" s="1" t="str">
        <f t="shared" si="0"/>
        <v>Distribution</v>
      </c>
      <c r="H29" s="1" t="s">
        <v>147</v>
      </c>
      <c r="I29" s="1" t="s">
        <v>13</v>
      </c>
      <c r="J29" s="10">
        <v>0.22361111111111109</v>
      </c>
      <c r="K29" s="1">
        <v>5.0999999999999996</v>
      </c>
      <c r="L29" s="1" t="s">
        <v>15</v>
      </c>
      <c r="M29" s="1" t="s">
        <v>150</v>
      </c>
      <c r="N29" s="1" t="s">
        <v>135</v>
      </c>
      <c r="O29" s="1" t="str">
        <f t="shared" si="1"/>
        <v>High</v>
      </c>
      <c r="P29" s="1" t="str">
        <f t="shared" si="2"/>
        <v>Permanent</v>
      </c>
    </row>
    <row r="30" spans="1:16" x14ac:dyDescent="0.3">
      <c r="A30" s="2">
        <v>45143</v>
      </c>
      <c r="B30" s="10">
        <v>9.0277777777777787E-3</v>
      </c>
      <c r="C30" s="1" t="s">
        <v>146</v>
      </c>
      <c r="D30" s="1" t="s">
        <v>23</v>
      </c>
      <c r="E30" s="1" t="s">
        <v>151</v>
      </c>
      <c r="F30" s="1">
        <v>33</v>
      </c>
      <c r="G30" s="1" t="str">
        <f t="shared" si="0"/>
        <v>Distribution</v>
      </c>
      <c r="H30" s="1" t="s">
        <v>147</v>
      </c>
      <c r="I30" s="1" t="s">
        <v>13</v>
      </c>
      <c r="J30" s="10">
        <v>0.23680555555555557</v>
      </c>
      <c r="K30" s="1">
        <v>5.47</v>
      </c>
      <c r="L30" s="1" t="s">
        <v>15</v>
      </c>
      <c r="M30" s="1" t="s">
        <v>150</v>
      </c>
      <c r="N30" s="1" t="s">
        <v>135</v>
      </c>
      <c r="O30" s="1" t="str">
        <f t="shared" si="1"/>
        <v>High</v>
      </c>
      <c r="P30" s="1" t="str">
        <f t="shared" si="2"/>
        <v>Permanent</v>
      </c>
    </row>
    <row r="31" spans="1:16" x14ac:dyDescent="0.3">
      <c r="A31" s="7" t="s">
        <v>152</v>
      </c>
      <c r="B31" s="10">
        <v>0.21805555555555556</v>
      </c>
      <c r="C31" s="1" t="s">
        <v>153</v>
      </c>
      <c r="D31" s="1" t="s">
        <v>154</v>
      </c>
      <c r="E31" s="1" t="s">
        <v>155</v>
      </c>
      <c r="F31" s="1">
        <v>11</v>
      </c>
      <c r="G31" s="1" t="str">
        <f t="shared" si="0"/>
        <v>Distribution</v>
      </c>
      <c r="H31" s="1" t="s">
        <v>12</v>
      </c>
      <c r="I31" s="1" t="s">
        <v>36</v>
      </c>
      <c r="J31" s="10">
        <v>0.62708333333333333</v>
      </c>
      <c r="K31" s="1">
        <v>9.82</v>
      </c>
      <c r="L31" s="1" t="s">
        <v>156</v>
      </c>
      <c r="M31" s="1" t="s">
        <v>157</v>
      </c>
      <c r="N31" s="1" t="s">
        <v>135</v>
      </c>
      <c r="O31" s="1" t="str">
        <f t="shared" si="1"/>
        <v>High</v>
      </c>
      <c r="P31" s="1" t="str">
        <f t="shared" si="2"/>
        <v>Permanent</v>
      </c>
    </row>
    <row r="32" spans="1:16" x14ac:dyDescent="0.3">
      <c r="A32" s="7" t="s">
        <v>152</v>
      </c>
      <c r="B32" s="10">
        <v>0.21805555555555556</v>
      </c>
      <c r="C32" s="1" t="s">
        <v>153</v>
      </c>
      <c r="D32" s="1" t="s">
        <v>154</v>
      </c>
      <c r="E32" s="1" t="s">
        <v>158</v>
      </c>
      <c r="F32" s="1">
        <v>11</v>
      </c>
      <c r="G32" s="1" t="str">
        <f t="shared" si="0"/>
        <v>Distribution</v>
      </c>
      <c r="H32" s="1" t="s">
        <v>12</v>
      </c>
      <c r="I32" s="1" t="s">
        <v>36</v>
      </c>
      <c r="J32" s="10">
        <v>0.62708333333333333</v>
      </c>
      <c r="K32" s="1">
        <v>9.82</v>
      </c>
      <c r="L32" s="1" t="s">
        <v>156</v>
      </c>
      <c r="M32" s="1" t="s">
        <v>159</v>
      </c>
      <c r="N32" s="1" t="s">
        <v>135</v>
      </c>
      <c r="O32" s="1" t="str">
        <f t="shared" si="1"/>
        <v>High</v>
      </c>
      <c r="P32" s="1" t="str">
        <f t="shared" si="2"/>
        <v>Permanent</v>
      </c>
    </row>
    <row r="33" spans="1:16" x14ac:dyDescent="0.3">
      <c r="A33" s="2">
        <v>44963</v>
      </c>
      <c r="B33" s="10">
        <v>0.45</v>
      </c>
      <c r="C33" s="1" t="s">
        <v>160</v>
      </c>
      <c r="D33" s="1" t="s">
        <v>161</v>
      </c>
      <c r="E33" s="1" t="s">
        <v>162</v>
      </c>
      <c r="F33" s="7">
        <v>11</v>
      </c>
      <c r="G33" s="1" t="str">
        <f t="shared" si="0"/>
        <v>Distribution</v>
      </c>
      <c r="H33" s="1" t="s">
        <v>17</v>
      </c>
      <c r="I33" s="1" t="s">
        <v>13</v>
      </c>
      <c r="J33" s="10">
        <v>0.47569444444444442</v>
      </c>
      <c r="K33" s="1">
        <v>0.62</v>
      </c>
      <c r="L33" s="1" t="s">
        <v>163</v>
      </c>
      <c r="M33" s="1" t="s">
        <v>164</v>
      </c>
      <c r="N33" s="1" t="s">
        <v>165</v>
      </c>
      <c r="O33" s="1" t="str">
        <f t="shared" si="1"/>
        <v>High</v>
      </c>
      <c r="P33" s="1" t="str">
        <f t="shared" si="2"/>
        <v>Permanent</v>
      </c>
    </row>
    <row r="34" spans="1:16" x14ac:dyDescent="0.3">
      <c r="A34" s="2">
        <v>44963</v>
      </c>
      <c r="B34" s="10">
        <v>0.45</v>
      </c>
      <c r="C34" s="1" t="s">
        <v>160</v>
      </c>
      <c r="D34" s="1" t="s">
        <v>161</v>
      </c>
      <c r="E34" s="1" t="s">
        <v>167</v>
      </c>
      <c r="F34" s="7">
        <v>11</v>
      </c>
      <c r="G34" s="1" t="str">
        <f t="shared" si="0"/>
        <v>Distribution</v>
      </c>
      <c r="H34" s="1" t="s">
        <v>17</v>
      </c>
      <c r="I34" s="1" t="s">
        <v>13</v>
      </c>
      <c r="J34" s="10">
        <v>0.47569444444444442</v>
      </c>
      <c r="K34" s="1">
        <v>0.62</v>
      </c>
      <c r="L34" s="1" t="s">
        <v>163</v>
      </c>
      <c r="M34" s="1" t="s">
        <v>166</v>
      </c>
      <c r="N34" s="1" t="s">
        <v>165</v>
      </c>
      <c r="O34" s="1" t="str">
        <f t="shared" ref="O34:O57" si="3">IF(K34&lt;=0.083,"Low",IF(K34&lt;= 0.5,"Medium",IF(K34&gt;0.5,"High")))</f>
        <v>High</v>
      </c>
      <c r="P34" s="1" t="str">
        <f t="shared" si="2"/>
        <v>Permanent</v>
      </c>
    </row>
    <row r="35" spans="1:16" x14ac:dyDescent="0.3">
      <c r="A35" s="7" t="s">
        <v>168</v>
      </c>
      <c r="B35" s="10">
        <v>0.63750000000000007</v>
      </c>
      <c r="C35" s="1" t="s">
        <v>169</v>
      </c>
      <c r="D35" s="1" t="s">
        <v>42</v>
      </c>
      <c r="E35" s="1" t="s">
        <v>170</v>
      </c>
      <c r="F35" s="7">
        <v>33</v>
      </c>
      <c r="G35" s="1" t="str">
        <f t="shared" si="0"/>
        <v>Distribution</v>
      </c>
      <c r="H35" s="1" t="s">
        <v>43</v>
      </c>
      <c r="I35" s="1" t="s">
        <v>13</v>
      </c>
      <c r="J35" s="10">
        <v>0.65277777777777779</v>
      </c>
      <c r="K35" s="1">
        <v>0.37</v>
      </c>
      <c r="L35" s="1" t="s">
        <v>171</v>
      </c>
      <c r="M35" s="1" t="s">
        <v>172</v>
      </c>
      <c r="N35" s="1" t="s">
        <v>165</v>
      </c>
      <c r="O35" s="1" t="str">
        <f t="shared" si="3"/>
        <v>Medium</v>
      </c>
      <c r="P35" s="1" t="str">
        <f t="shared" si="2"/>
        <v>Sustained</v>
      </c>
    </row>
    <row r="36" spans="1:16" x14ac:dyDescent="0.3">
      <c r="A36" s="7" t="s">
        <v>168</v>
      </c>
      <c r="B36" s="10">
        <v>0.63750000000000007</v>
      </c>
      <c r="C36" s="1" t="s">
        <v>169</v>
      </c>
      <c r="D36" s="1" t="s">
        <v>42</v>
      </c>
      <c r="E36" s="1" t="s">
        <v>173</v>
      </c>
      <c r="F36" s="7">
        <v>33</v>
      </c>
      <c r="G36" s="1" t="str">
        <f t="shared" si="0"/>
        <v>Distribution</v>
      </c>
      <c r="H36" s="1" t="s">
        <v>43</v>
      </c>
      <c r="I36" s="1" t="s">
        <v>13</v>
      </c>
      <c r="J36" s="10">
        <v>0.65277777777777779</v>
      </c>
      <c r="K36" s="1">
        <v>0.37</v>
      </c>
      <c r="L36" s="1" t="s">
        <v>171</v>
      </c>
      <c r="M36" s="1" t="s">
        <v>174</v>
      </c>
      <c r="N36" s="1" t="s">
        <v>165</v>
      </c>
      <c r="O36" s="1" t="str">
        <f t="shared" si="3"/>
        <v>Medium</v>
      </c>
      <c r="P36" s="1" t="str">
        <f t="shared" si="2"/>
        <v>Sustained</v>
      </c>
    </row>
    <row r="37" spans="1:16" x14ac:dyDescent="0.3">
      <c r="A37" s="7" t="s">
        <v>175</v>
      </c>
      <c r="B37" s="10">
        <v>0.10277777777777779</v>
      </c>
      <c r="C37" s="1" t="s">
        <v>176</v>
      </c>
      <c r="D37" s="1" t="s">
        <v>44</v>
      </c>
      <c r="E37" s="1" t="s">
        <v>178</v>
      </c>
      <c r="F37" s="7">
        <v>11</v>
      </c>
      <c r="G37" s="1" t="str">
        <f t="shared" si="0"/>
        <v>Distribution</v>
      </c>
      <c r="H37" s="1" t="s">
        <v>43</v>
      </c>
      <c r="I37" s="1" t="s">
        <v>13</v>
      </c>
      <c r="J37" s="10">
        <v>0.17152777777777775</v>
      </c>
      <c r="K37" s="1">
        <v>1.65</v>
      </c>
      <c r="L37" s="1" t="s">
        <v>177</v>
      </c>
      <c r="M37" s="1" t="s">
        <v>179</v>
      </c>
      <c r="N37" s="1" t="s">
        <v>165</v>
      </c>
      <c r="O37" s="1" t="str">
        <f t="shared" si="3"/>
        <v>High</v>
      </c>
      <c r="P37" s="1" t="str">
        <f t="shared" si="2"/>
        <v>Permanent</v>
      </c>
    </row>
    <row r="38" spans="1:16" x14ac:dyDescent="0.3">
      <c r="A38" s="7" t="s">
        <v>183</v>
      </c>
      <c r="B38" s="7" t="s">
        <v>185</v>
      </c>
      <c r="C38" s="1" t="s">
        <v>186</v>
      </c>
      <c r="D38" s="1" t="s">
        <v>32</v>
      </c>
      <c r="E38" s="1" t="s">
        <v>187</v>
      </c>
      <c r="F38" s="1">
        <v>11</v>
      </c>
      <c r="G38" s="1" t="str">
        <f t="shared" si="0"/>
        <v>Distribution</v>
      </c>
      <c r="H38" s="1" t="s">
        <v>30</v>
      </c>
      <c r="I38" s="1" t="s">
        <v>13</v>
      </c>
      <c r="J38" s="7" t="s">
        <v>182</v>
      </c>
      <c r="K38" s="1">
        <v>0</v>
      </c>
      <c r="L38" s="1" t="s">
        <v>15</v>
      </c>
      <c r="M38" s="1" t="s">
        <v>188</v>
      </c>
      <c r="N38" s="1" t="s">
        <v>184</v>
      </c>
      <c r="O38" s="1" t="str">
        <f t="shared" si="3"/>
        <v>Low</v>
      </c>
      <c r="P38" s="1" t="str">
        <f t="shared" si="2"/>
        <v>Transient</v>
      </c>
    </row>
    <row r="39" spans="1:16" x14ac:dyDescent="0.3">
      <c r="A39" s="7" t="s">
        <v>193</v>
      </c>
      <c r="B39" s="7" t="s">
        <v>194</v>
      </c>
      <c r="C39" s="1" t="s">
        <v>195</v>
      </c>
      <c r="D39" s="1" t="s">
        <v>196</v>
      </c>
      <c r="E39" s="1" t="s">
        <v>197</v>
      </c>
      <c r="F39" s="7">
        <v>11</v>
      </c>
      <c r="G39" s="1" t="str">
        <f t="shared" si="0"/>
        <v>Distribution</v>
      </c>
      <c r="H39" s="1" t="s">
        <v>12</v>
      </c>
      <c r="I39" s="1" t="s">
        <v>13</v>
      </c>
      <c r="J39" s="7" t="s">
        <v>216</v>
      </c>
      <c r="K39" s="1">
        <v>2.97</v>
      </c>
      <c r="L39" s="1" t="s">
        <v>198</v>
      </c>
      <c r="M39" s="1" t="s">
        <v>199</v>
      </c>
      <c r="N39" s="1" t="s">
        <v>189</v>
      </c>
      <c r="O39" s="1" t="str">
        <f t="shared" si="3"/>
        <v>High</v>
      </c>
      <c r="P39" s="1" t="str">
        <f t="shared" si="2"/>
        <v>Permanent</v>
      </c>
    </row>
    <row r="40" spans="1:16" x14ac:dyDescent="0.3">
      <c r="A40" s="7" t="s">
        <v>193</v>
      </c>
      <c r="B40" s="9">
        <v>0.8930555555555556</v>
      </c>
      <c r="C40" s="1" t="s">
        <v>195</v>
      </c>
      <c r="D40" s="1" t="s">
        <v>196</v>
      </c>
      <c r="E40" s="1" t="s">
        <v>200</v>
      </c>
      <c r="F40" s="7">
        <v>11</v>
      </c>
      <c r="G40" s="1" t="str">
        <f t="shared" si="0"/>
        <v>Distribution</v>
      </c>
      <c r="H40" s="1" t="s">
        <v>12</v>
      </c>
      <c r="I40" s="1" t="s">
        <v>13</v>
      </c>
      <c r="J40" s="7" t="s">
        <v>217</v>
      </c>
      <c r="K40" s="1">
        <v>1.62</v>
      </c>
      <c r="L40" s="1" t="s">
        <v>201</v>
      </c>
      <c r="M40" s="1" t="s">
        <v>199</v>
      </c>
      <c r="N40" s="1" t="s">
        <v>189</v>
      </c>
      <c r="O40" s="1" t="str">
        <f t="shared" si="3"/>
        <v>High</v>
      </c>
      <c r="P40" s="1" t="str">
        <f t="shared" si="2"/>
        <v>Permanent</v>
      </c>
    </row>
    <row r="41" spans="1:16" x14ac:dyDescent="0.3">
      <c r="A41" s="7" t="s">
        <v>193</v>
      </c>
      <c r="B41" s="9">
        <v>0.8930555555555556</v>
      </c>
      <c r="C41" s="1" t="s">
        <v>195</v>
      </c>
      <c r="D41" s="1" t="s">
        <v>196</v>
      </c>
      <c r="E41" s="1" t="s">
        <v>202</v>
      </c>
      <c r="F41" s="7">
        <v>11</v>
      </c>
      <c r="G41" s="1" t="str">
        <f t="shared" si="0"/>
        <v>Distribution</v>
      </c>
      <c r="H41" s="1" t="s">
        <v>12</v>
      </c>
      <c r="I41" s="1" t="s">
        <v>13</v>
      </c>
      <c r="J41" s="7" t="s">
        <v>216</v>
      </c>
      <c r="K41" s="1">
        <v>2.97</v>
      </c>
      <c r="L41" s="1" t="s">
        <v>201</v>
      </c>
      <c r="M41" s="1" t="s">
        <v>199</v>
      </c>
      <c r="N41" s="1" t="s">
        <v>189</v>
      </c>
      <c r="O41" s="1" t="str">
        <f t="shared" si="3"/>
        <v>High</v>
      </c>
      <c r="P41" s="1" t="str">
        <f t="shared" si="2"/>
        <v>Permanent</v>
      </c>
    </row>
    <row r="42" spans="1:16" x14ac:dyDescent="0.3">
      <c r="A42" s="7" t="s">
        <v>203</v>
      </c>
      <c r="B42" s="7" t="s">
        <v>204</v>
      </c>
      <c r="C42" s="1" t="s">
        <v>205</v>
      </c>
      <c r="D42" s="1" t="s">
        <v>110</v>
      </c>
      <c r="E42" s="1" t="s">
        <v>206</v>
      </c>
      <c r="F42" s="7">
        <v>11</v>
      </c>
      <c r="G42" s="1" t="str">
        <f t="shared" si="0"/>
        <v>Distribution</v>
      </c>
      <c r="H42" s="1" t="s">
        <v>17</v>
      </c>
      <c r="I42" s="1" t="s">
        <v>13</v>
      </c>
      <c r="J42" s="7"/>
      <c r="K42" s="1">
        <v>0</v>
      </c>
      <c r="L42" s="1" t="s">
        <v>207</v>
      </c>
      <c r="M42" s="1" t="s">
        <v>208</v>
      </c>
      <c r="N42" s="1" t="s">
        <v>189</v>
      </c>
      <c r="O42" s="1" t="str">
        <f t="shared" si="3"/>
        <v>Low</v>
      </c>
      <c r="P42" s="1" t="str">
        <f t="shared" si="2"/>
        <v>Transient</v>
      </c>
    </row>
    <row r="43" spans="1:16" x14ac:dyDescent="0.3">
      <c r="A43" s="7" t="s">
        <v>209</v>
      </c>
      <c r="B43" s="7" t="s">
        <v>210</v>
      </c>
      <c r="C43" s="1" t="s">
        <v>211</v>
      </c>
      <c r="D43" s="1" t="s">
        <v>127</v>
      </c>
      <c r="E43" s="1" t="s">
        <v>212</v>
      </c>
      <c r="F43" s="7">
        <v>11</v>
      </c>
      <c r="G43" s="1" t="str">
        <f t="shared" si="0"/>
        <v>Distribution</v>
      </c>
      <c r="H43" s="1" t="s">
        <v>12</v>
      </c>
      <c r="I43" s="1" t="s">
        <v>13</v>
      </c>
      <c r="J43" s="7" t="s">
        <v>213</v>
      </c>
      <c r="K43" s="1">
        <v>0.08</v>
      </c>
      <c r="L43" s="1" t="s">
        <v>214</v>
      </c>
      <c r="M43" s="1" t="s">
        <v>215</v>
      </c>
      <c r="N43" s="1" t="s">
        <v>189</v>
      </c>
      <c r="O43" s="1" t="str">
        <f t="shared" si="3"/>
        <v>Low</v>
      </c>
      <c r="P43" s="1" t="str">
        <f t="shared" si="2"/>
        <v>Transient</v>
      </c>
    </row>
    <row r="44" spans="1:16" x14ac:dyDescent="0.3">
      <c r="A44" s="7" t="s">
        <v>219</v>
      </c>
      <c r="B44" s="9">
        <v>0.52569444444444446</v>
      </c>
      <c r="C44" s="1" t="s">
        <v>221</v>
      </c>
      <c r="D44" s="1" t="s">
        <v>111</v>
      </c>
      <c r="E44" s="1" t="s">
        <v>112</v>
      </c>
      <c r="F44" s="1">
        <v>11</v>
      </c>
      <c r="G44" s="1" t="str">
        <f t="shared" si="0"/>
        <v>Distribution</v>
      </c>
      <c r="H44" s="1" t="s">
        <v>12</v>
      </c>
      <c r="I44" s="1" t="s">
        <v>13</v>
      </c>
      <c r="J44" s="7" t="s">
        <v>222</v>
      </c>
      <c r="K44" s="1">
        <v>0.63</v>
      </c>
      <c r="L44" s="1" t="s">
        <v>113</v>
      </c>
      <c r="M44" s="1" t="s">
        <v>223</v>
      </c>
      <c r="N44" s="1" t="s">
        <v>218</v>
      </c>
      <c r="O44" s="1" t="str">
        <f t="shared" si="3"/>
        <v>High</v>
      </c>
      <c r="P44" s="1" t="str">
        <f t="shared" si="2"/>
        <v>Permanent</v>
      </c>
    </row>
    <row r="45" spans="1:16" x14ac:dyDescent="0.3">
      <c r="A45" s="7" t="s">
        <v>233</v>
      </c>
      <c r="B45" s="1"/>
      <c r="C45" s="1" t="s">
        <v>234</v>
      </c>
      <c r="D45" s="1" t="s">
        <v>235</v>
      </c>
      <c r="E45" s="1" t="s">
        <v>236</v>
      </c>
      <c r="F45" s="1">
        <v>11</v>
      </c>
      <c r="G45" s="1" t="str">
        <f t="shared" si="0"/>
        <v>Distribution</v>
      </c>
      <c r="H45" s="1" t="s">
        <v>12</v>
      </c>
      <c r="I45" s="1" t="s">
        <v>13</v>
      </c>
      <c r="J45" s="7" t="s">
        <v>237</v>
      </c>
      <c r="K45" s="1">
        <v>1.95</v>
      </c>
      <c r="L45" s="1" t="s">
        <v>113</v>
      </c>
      <c r="M45" s="1" t="s">
        <v>225</v>
      </c>
      <c r="N45" s="1" t="s">
        <v>232</v>
      </c>
      <c r="O45" s="1" t="str">
        <f t="shared" si="3"/>
        <v>High</v>
      </c>
      <c r="P45" s="1" t="str">
        <f t="shared" si="2"/>
        <v>Permanent</v>
      </c>
    </row>
    <row r="46" spans="1:16" x14ac:dyDescent="0.3">
      <c r="A46" s="7" t="s">
        <v>233</v>
      </c>
      <c r="B46" s="1"/>
      <c r="C46" s="1" t="s">
        <v>234</v>
      </c>
      <c r="D46" s="1" t="s">
        <v>235</v>
      </c>
      <c r="E46" s="1" t="s">
        <v>238</v>
      </c>
      <c r="F46" s="1">
        <v>11</v>
      </c>
      <c r="G46" s="1" t="str">
        <f t="shared" si="0"/>
        <v>Distribution</v>
      </c>
      <c r="H46" s="1" t="s">
        <v>12</v>
      </c>
      <c r="I46" s="1" t="s">
        <v>13</v>
      </c>
      <c r="J46" s="7" t="s">
        <v>239</v>
      </c>
      <c r="K46" s="1">
        <v>2.1800000000000002</v>
      </c>
      <c r="L46" s="1" t="s">
        <v>113</v>
      </c>
      <c r="M46" s="1" t="s">
        <v>240</v>
      </c>
      <c r="N46" s="1" t="s">
        <v>232</v>
      </c>
      <c r="O46" s="1" t="str">
        <f t="shared" si="3"/>
        <v>High</v>
      </c>
      <c r="P46" s="1" t="str">
        <f t="shared" si="2"/>
        <v>Permanent</v>
      </c>
    </row>
    <row r="47" spans="1:16" x14ac:dyDescent="0.3">
      <c r="A47" s="7" t="s">
        <v>241</v>
      </c>
      <c r="B47" s="1"/>
      <c r="C47" s="1" t="s">
        <v>242</v>
      </c>
      <c r="D47" s="1" t="s">
        <v>235</v>
      </c>
      <c r="E47" s="1" t="s">
        <v>243</v>
      </c>
      <c r="F47" s="1">
        <v>11</v>
      </c>
      <c r="G47" s="1" t="str">
        <f t="shared" si="0"/>
        <v>Distribution</v>
      </c>
      <c r="H47" s="1" t="s">
        <v>12</v>
      </c>
      <c r="I47" s="1" t="s">
        <v>13</v>
      </c>
      <c r="J47" s="7" t="s">
        <v>244</v>
      </c>
      <c r="K47" s="1">
        <v>2.27</v>
      </c>
      <c r="L47" s="1" t="s">
        <v>113</v>
      </c>
      <c r="M47" s="1" t="s">
        <v>245</v>
      </c>
      <c r="N47" s="1" t="s">
        <v>232</v>
      </c>
      <c r="O47" s="1" t="str">
        <f t="shared" si="3"/>
        <v>High</v>
      </c>
      <c r="P47" s="1" t="str">
        <f t="shared" si="2"/>
        <v>Permanent</v>
      </c>
    </row>
    <row r="48" spans="1:16" x14ac:dyDescent="0.3">
      <c r="A48" s="7" t="s">
        <v>241</v>
      </c>
      <c r="B48" s="1"/>
      <c r="C48" s="1" t="s">
        <v>242</v>
      </c>
      <c r="D48" s="1" t="s">
        <v>235</v>
      </c>
      <c r="E48" s="1" t="s">
        <v>236</v>
      </c>
      <c r="F48" s="1">
        <v>11</v>
      </c>
      <c r="G48" s="1" t="str">
        <f t="shared" si="0"/>
        <v>Distribution</v>
      </c>
      <c r="H48" s="1" t="s">
        <v>12</v>
      </c>
      <c r="I48" s="1" t="s">
        <v>13</v>
      </c>
      <c r="J48" s="7" t="s">
        <v>246</v>
      </c>
      <c r="K48" s="1">
        <v>2.2799999999999998</v>
      </c>
      <c r="L48" s="1" t="s">
        <v>113</v>
      </c>
      <c r="M48" s="1" t="s">
        <v>142</v>
      </c>
      <c r="N48" s="1" t="s">
        <v>232</v>
      </c>
      <c r="O48" s="1" t="str">
        <f t="shared" si="3"/>
        <v>High</v>
      </c>
      <c r="P48" s="1" t="str">
        <f t="shared" si="2"/>
        <v>Permanent</v>
      </c>
    </row>
    <row r="49" spans="1:16" x14ac:dyDescent="0.3">
      <c r="A49" s="7" t="s">
        <v>241</v>
      </c>
      <c r="B49" s="1"/>
      <c r="C49" s="1" t="s">
        <v>242</v>
      </c>
      <c r="D49" s="1" t="s">
        <v>235</v>
      </c>
      <c r="E49" s="1" t="s">
        <v>247</v>
      </c>
      <c r="F49" s="1">
        <v>11</v>
      </c>
      <c r="G49" s="1" t="str">
        <f t="shared" si="0"/>
        <v>Distribution</v>
      </c>
      <c r="H49" s="1" t="s">
        <v>12</v>
      </c>
      <c r="I49" s="1" t="s">
        <v>13</v>
      </c>
      <c r="J49" s="7" t="s">
        <v>246</v>
      </c>
      <c r="K49" s="1">
        <v>2.2799999999999998</v>
      </c>
      <c r="L49" s="1" t="s">
        <v>113</v>
      </c>
      <c r="M49" s="1" t="s">
        <v>142</v>
      </c>
      <c r="N49" s="1" t="s">
        <v>232</v>
      </c>
      <c r="O49" s="1" t="str">
        <f t="shared" si="3"/>
        <v>High</v>
      </c>
      <c r="P49" s="1" t="str">
        <f t="shared" si="2"/>
        <v>Permanent</v>
      </c>
    </row>
    <row r="50" spans="1:16" x14ac:dyDescent="0.3">
      <c r="A50" s="7" t="s">
        <v>241</v>
      </c>
      <c r="B50" s="1"/>
      <c r="C50" s="1" t="s">
        <v>242</v>
      </c>
      <c r="D50" s="1" t="s">
        <v>235</v>
      </c>
      <c r="E50" s="1" t="s">
        <v>248</v>
      </c>
      <c r="F50" s="1">
        <v>11</v>
      </c>
      <c r="G50" s="1" t="str">
        <f t="shared" si="0"/>
        <v>Distribution</v>
      </c>
      <c r="H50" s="1" t="s">
        <v>12</v>
      </c>
      <c r="I50" s="1" t="s">
        <v>13</v>
      </c>
      <c r="J50" s="7" t="s">
        <v>246</v>
      </c>
      <c r="K50" s="1">
        <v>2.2799999999999998</v>
      </c>
      <c r="L50" s="1"/>
      <c r="M50" s="1" t="s">
        <v>249</v>
      </c>
      <c r="N50" s="1" t="s">
        <v>232</v>
      </c>
      <c r="O50" s="1" t="str">
        <f t="shared" si="3"/>
        <v>High</v>
      </c>
      <c r="P50" s="1" t="str">
        <f t="shared" si="2"/>
        <v>Permanent</v>
      </c>
    </row>
    <row r="51" spans="1:16" x14ac:dyDescent="0.3">
      <c r="A51" s="7" t="s">
        <v>253</v>
      </c>
      <c r="B51" s="1" t="s">
        <v>254</v>
      </c>
      <c r="C51" s="1" t="s">
        <v>255</v>
      </c>
      <c r="D51" s="1" t="s">
        <v>32</v>
      </c>
      <c r="E51" s="1" t="s">
        <v>256</v>
      </c>
      <c r="F51" s="1">
        <v>12</v>
      </c>
      <c r="G51" s="1" t="str">
        <f t="shared" si="0"/>
        <v>Distribution</v>
      </c>
      <c r="H51" s="1" t="s">
        <v>30</v>
      </c>
      <c r="I51" s="1" t="s">
        <v>13</v>
      </c>
      <c r="J51" s="7" t="s">
        <v>182</v>
      </c>
      <c r="K51" s="1">
        <v>0</v>
      </c>
      <c r="L51" s="1" t="s">
        <v>15</v>
      </c>
      <c r="M51" s="1" t="s">
        <v>257</v>
      </c>
      <c r="N51" s="1" t="s">
        <v>252</v>
      </c>
      <c r="O51" s="1" t="str">
        <f t="shared" si="3"/>
        <v>Low</v>
      </c>
      <c r="P51" s="1" t="str">
        <f t="shared" si="2"/>
        <v>Transient</v>
      </c>
    </row>
    <row r="52" spans="1:16" ht="13.95" customHeight="1" x14ac:dyDescent="0.3">
      <c r="A52" s="7" t="s">
        <v>258</v>
      </c>
      <c r="B52" s="1" t="s">
        <v>259</v>
      </c>
      <c r="C52" s="1" t="s">
        <v>255</v>
      </c>
      <c r="D52" s="1" t="s">
        <v>74</v>
      </c>
      <c r="E52" s="1" t="s">
        <v>260</v>
      </c>
      <c r="F52" s="1">
        <v>33</v>
      </c>
      <c r="G52" s="1" t="str">
        <f t="shared" si="0"/>
        <v>Distribution</v>
      </c>
      <c r="H52" s="1" t="s">
        <v>17</v>
      </c>
      <c r="I52" s="1" t="s">
        <v>13</v>
      </c>
      <c r="J52" s="7" t="s">
        <v>261</v>
      </c>
      <c r="K52" s="1">
        <v>1.8</v>
      </c>
      <c r="L52" s="1" t="s">
        <v>262</v>
      </c>
      <c r="M52" s="1" t="s">
        <v>263</v>
      </c>
      <c r="N52" s="1" t="s">
        <v>252</v>
      </c>
      <c r="O52" s="1" t="str">
        <f t="shared" si="3"/>
        <v>High</v>
      </c>
      <c r="P52" s="1" t="str">
        <f t="shared" si="2"/>
        <v>Permanent</v>
      </c>
    </row>
    <row r="53" spans="1:16" x14ac:dyDescent="0.3">
      <c r="A53" s="7" t="s">
        <v>258</v>
      </c>
      <c r="B53" s="1"/>
      <c r="C53" s="1" t="s">
        <v>255</v>
      </c>
      <c r="D53" s="1" t="s">
        <v>74</v>
      </c>
      <c r="E53" s="1" t="s">
        <v>264</v>
      </c>
      <c r="F53" s="1">
        <v>33</v>
      </c>
      <c r="G53" s="1" t="str">
        <f t="shared" si="0"/>
        <v>Distribution</v>
      </c>
      <c r="H53" s="1" t="s">
        <v>17</v>
      </c>
      <c r="I53" s="1" t="s">
        <v>13</v>
      </c>
      <c r="J53" s="7" t="s">
        <v>261</v>
      </c>
      <c r="K53" s="1">
        <v>1.8</v>
      </c>
      <c r="L53" s="1" t="s">
        <v>262</v>
      </c>
      <c r="M53" s="1" t="s">
        <v>263</v>
      </c>
      <c r="N53" s="1" t="s">
        <v>252</v>
      </c>
      <c r="O53" s="1" t="str">
        <f t="shared" si="3"/>
        <v>High</v>
      </c>
      <c r="P53" s="1" t="str">
        <f t="shared" si="2"/>
        <v>Permanent</v>
      </c>
    </row>
    <row r="54" spans="1:16" x14ac:dyDescent="0.3">
      <c r="A54" s="7" t="s">
        <v>258</v>
      </c>
      <c r="B54" s="1"/>
      <c r="C54" s="1" t="s">
        <v>255</v>
      </c>
      <c r="D54" s="1" t="s">
        <v>74</v>
      </c>
      <c r="E54" s="1" t="s">
        <v>265</v>
      </c>
      <c r="F54" s="1">
        <v>33</v>
      </c>
      <c r="G54" s="1" t="str">
        <f t="shared" si="0"/>
        <v>Distribution</v>
      </c>
      <c r="H54" s="1" t="s">
        <v>17</v>
      </c>
      <c r="I54" s="1" t="s">
        <v>13</v>
      </c>
      <c r="J54" s="7" t="s">
        <v>266</v>
      </c>
      <c r="K54" s="1">
        <v>0.97</v>
      </c>
      <c r="L54" s="1" t="s">
        <v>53</v>
      </c>
      <c r="M54" s="1" t="s">
        <v>267</v>
      </c>
      <c r="N54" s="1" t="s">
        <v>252</v>
      </c>
      <c r="O54" s="1" t="str">
        <f t="shared" si="3"/>
        <v>High</v>
      </c>
      <c r="P54" s="1" t="str">
        <f t="shared" si="2"/>
        <v>Permanent</v>
      </c>
    </row>
    <row r="55" spans="1:16" x14ac:dyDescent="0.3">
      <c r="A55" s="7" t="s">
        <v>268</v>
      </c>
      <c r="B55" s="1" t="s">
        <v>269</v>
      </c>
      <c r="C55" s="1" t="s">
        <v>270</v>
      </c>
      <c r="D55" s="1" t="s">
        <v>32</v>
      </c>
      <c r="E55" s="1" t="s">
        <v>271</v>
      </c>
      <c r="F55" s="1">
        <v>12</v>
      </c>
      <c r="G55" s="1" t="str">
        <f t="shared" si="0"/>
        <v>Distribution</v>
      </c>
      <c r="H55" s="1" t="s">
        <v>30</v>
      </c>
      <c r="I55" s="1" t="s">
        <v>13</v>
      </c>
      <c r="J55" s="7" t="s">
        <v>182</v>
      </c>
      <c r="K55" s="1">
        <v>0</v>
      </c>
      <c r="L55" s="1" t="s">
        <v>15</v>
      </c>
      <c r="M55" s="1" t="s">
        <v>272</v>
      </c>
      <c r="N55" s="1" t="s">
        <v>252</v>
      </c>
      <c r="O55" s="1" t="str">
        <f t="shared" si="3"/>
        <v>Low</v>
      </c>
      <c r="P55" s="1" t="str">
        <f t="shared" si="2"/>
        <v>Transient</v>
      </c>
    </row>
    <row r="56" spans="1:16" x14ac:dyDescent="0.3">
      <c r="A56" s="7" t="s">
        <v>273</v>
      </c>
      <c r="B56" s="1" t="s">
        <v>274</v>
      </c>
      <c r="C56" s="1" t="s">
        <v>270</v>
      </c>
      <c r="D56" s="1" t="s">
        <v>231</v>
      </c>
      <c r="E56" s="1" t="s">
        <v>275</v>
      </c>
      <c r="F56" s="1">
        <v>33</v>
      </c>
      <c r="G56" s="1" t="str">
        <f t="shared" si="0"/>
        <v>Distribution</v>
      </c>
      <c r="H56" s="1" t="s">
        <v>30</v>
      </c>
      <c r="I56" s="1" t="s">
        <v>24</v>
      </c>
      <c r="J56" s="7" t="s">
        <v>276</v>
      </c>
      <c r="K56" s="1">
        <v>4.13</v>
      </c>
      <c r="L56" s="1" t="s">
        <v>277</v>
      </c>
      <c r="M56" s="1" t="s">
        <v>278</v>
      </c>
      <c r="N56" s="1" t="s">
        <v>252</v>
      </c>
      <c r="O56" s="1" t="str">
        <f t="shared" si="3"/>
        <v>High</v>
      </c>
      <c r="P56" s="1" t="str">
        <f t="shared" si="2"/>
        <v>Permanent</v>
      </c>
    </row>
    <row r="57" spans="1:16" x14ac:dyDescent="0.3">
      <c r="A57" s="7" t="s">
        <v>279</v>
      </c>
      <c r="B57" s="1" t="s">
        <v>280</v>
      </c>
      <c r="C57" s="1" t="s">
        <v>281</v>
      </c>
      <c r="D57" s="1" t="s">
        <v>32</v>
      </c>
      <c r="E57" s="1" t="s">
        <v>282</v>
      </c>
      <c r="F57" s="1">
        <v>12</v>
      </c>
      <c r="G57" s="1" t="str">
        <f t="shared" si="0"/>
        <v>Distribution</v>
      </c>
      <c r="H57" s="1" t="s">
        <v>30</v>
      </c>
      <c r="I57" s="1" t="s">
        <v>36</v>
      </c>
      <c r="J57" s="7" t="s">
        <v>283</v>
      </c>
      <c r="K57" s="1">
        <v>4.43</v>
      </c>
      <c r="L57" s="1" t="s">
        <v>284</v>
      </c>
      <c r="M57" s="1" t="s">
        <v>285</v>
      </c>
      <c r="N57" s="1" t="s">
        <v>252</v>
      </c>
      <c r="O57" s="1" t="str">
        <f t="shared" si="3"/>
        <v>High</v>
      </c>
      <c r="P57" s="1" t="str">
        <f t="shared" si="2"/>
        <v>Permanent</v>
      </c>
    </row>
    <row r="58" spans="1:16" x14ac:dyDescent="0.3">
      <c r="A58" s="7" t="s">
        <v>287</v>
      </c>
      <c r="B58" s="1" t="s">
        <v>288</v>
      </c>
      <c r="C58" s="1" t="s">
        <v>289</v>
      </c>
      <c r="D58" s="1" t="s">
        <v>290</v>
      </c>
      <c r="E58" s="1" t="s">
        <v>291</v>
      </c>
      <c r="F58" s="1">
        <v>11</v>
      </c>
      <c r="G58" s="1" t="str">
        <f t="shared" si="0"/>
        <v>Distribution</v>
      </c>
      <c r="H58" s="1" t="s">
        <v>12</v>
      </c>
      <c r="I58" s="1" t="s">
        <v>13</v>
      </c>
      <c r="J58" s="7" t="s">
        <v>292</v>
      </c>
      <c r="K58" s="1">
        <v>1.68</v>
      </c>
      <c r="L58" s="1" t="s">
        <v>156</v>
      </c>
      <c r="M58" s="1" t="s">
        <v>293</v>
      </c>
      <c r="N58" s="1" t="s">
        <v>16</v>
      </c>
      <c r="O58" s="1" t="str">
        <f t="shared" ref="O58:O79" si="4">IF(K58&lt;=0.083,"Low",IF(K58&lt;=0.5,"Medium",IF(K58&gt;0.5,"High")))</f>
        <v>High</v>
      </c>
      <c r="P58" s="1" t="str">
        <f t="shared" si="2"/>
        <v>Permanent</v>
      </c>
    </row>
    <row r="59" spans="1:16" x14ac:dyDescent="0.3">
      <c r="A59" s="7" t="s">
        <v>287</v>
      </c>
      <c r="B59" s="1" t="s">
        <v>294</v>
      </c>
      <c r="C59" s="1" t="s">
        <v>289</v>
      </c>
      <c r="D59" s="1" t="s">
        <v>290</v>
      </c>
      <c r="E59" s="1" t="s">
        <v>295</v>
      </c>
      <c r="F59" s="1">
        <v>11</v>
      </c>
      <c r="G59" s="1" t="str">
        <f t="shared" si="0"/>
        <v>Distribution</v>
      </c>
      <c r="H59" s="1" t="s">
        <v>12</v>
      </c>
      <c r="I59" s="1" t="s">
        <v>13</v>
      </c>
      <c r="J59" s="7" t="s">
        <v>292</v>
      </c>
      <c r="K59" s="1">
        <v>1.68</v>
      </c>
      <c r="L59" s="1" t="s">
        <v>156</v>
      </c>
      <c r="M59" s="1" t="s">
        <v>293</v>
      </c>
      <c r="N59" s="1" t="s">
        <v>16</v>
      </c>
      <c r="O59" s="1" t="str">
        <f t="shared" si="4"/>
        <v>High</v>
      </c>
      <c r="P59" s="1" t="str">
        <f t="shared" si="2"/>
        <v>Permanent</v>
      </c>
    </row>
    <row r="60" spans="1:16" x14ac:dyDescent="0.3">
      <c r="A60" s="7" t="s">
        <v>299</v>
      </c>
      <c r="B60" s="1" t="s">
        <v>300</v>
      </c>
      <c r="C60" s="1" t="s">
        <v>301</v>
      </c>
      <c r="D60" s="1" t="s">
        <v>302</v>
      </c>
      <c r="E60" s="1" t="s">
        <v>303</v>
      </c>
      <c r="F60" s="1">
        <v>11</v>
      </c>
      <c r="G60" s="1" t="str">
        <f t="shared" si="0"/>
        <v>Distribution</v>
      </c>
      <c r="H60" s="1" t="s">
        <v>17</v>
      </c>
      <c r="I60" s="1" t="s">
        <v>13</v>
      </c>
      <c r="J60" s="7" t="s">
        <v>304</v>
      </c>
      <c r="K60" s="1">
        <v>1.02</v>
      </c>
      <c r="L60" s="1" t="s">
        <v>171</v>
      </c>
      <c r="M60" s="1" t="s">
        <v>305</v>
      </c>
      <c r="N60" s="1" t="s">
        <v>16</v>
      </c>
      <c r="O60" s="1" t="str">
        <f t="shared" si="4"/>
        <v>High</v>
      </c>
      <c r="P60" s="1" t="str">
        <f t="shared" si="2"/>
        <v>Permanent</v>
      </c>
    </row>
    <row r="61" spans="1:16" x14ac:dyDescent="0.3">
      <c r="A61" s="7" t="s">
        <v>299</v>
      </c>
      <c r="B61" s="1" t="s">
        <v>300</v>
      </c>
      <c r="C61" s="1" t="s">
        <v>301</v>
      </c>
      <c r="D61" s="1" t="s">
        <v>302</v>
      </c>
      <c r="E61" s="1" t="s">
        <v>306</v>
      </c>
      <c r="F61" s="1">
        <v>11</v>
      </c>
      <c r="G61" s="1" t="str">
        <f t="shared" si="0"/>
        <v>Distribution</v>
      </c>
      <c r="H61" s="1" t="s">
        <v>17</v>
      </c>
      <c r="I61" s="1" t="s">
        <v>13</v>
      </c>
      <c r="J61" s="7" t="s">
        <v>304</v>
      </c>
      <c r="K61" s="1">
        <v>1.02</v>
      </c>
      <c r="L61" s="1" t="s">
        <v>171</v>
      </c>
      <c r="M61" s="1" t="s">
        <v>142</v>
      </c>
      <c r="N61" s="1" t="s">
        <v>16</v>
      </c>
      <c r="O61" s="1" t="str">
        <f t="shared" si="4"/>
        <v>High</v>
      </c>
      <c r="P61" s="1" t="str">
        <f t="shared" si="2"/>
        <v>Permanent</v>
      </c>
    </row>
    <row r="62" spans="1:16" x14ac:dyDescent="0.3">
      <c r="A62" s="7" t="s">
        <v>309</v>
      </c>
      <c r="B62" s="1" t="s">
        <v>310</v>
      </c>
      <c r="C62" s="1" t="s">
        <v>311</v>
      </c>
      <c r="D62" s="1" t="s">
        <v>52</v>
      </c>
      <c r="E62" s="1" t="s">
        <v>312</v>
      </c>
      <c r="F62" s="1">
        <v>11</v>
      </c>
      <c r="G62" s="1" t="str">
        <f t="shared" si="0"/>
        <v>Distribution</v>
      </c>
      <c r="H62" s="1" t="s">
        <v>12</v>
      </c>
      <c r="I62" s="1" t="s">
        <v>36</v>
      </c>
      <c r="J62" s="10">
        <v>0.15486111111111112</v>
      </c>
      <c r="K62" s="1">
        <v>5.47</v>
      </c>
      <c r="L62" s="1" t="s">
        <v>308</v>
      </c>
      <c r="M62" s="1" t="s">
        <v>313</v>
      </c>
      <c r="N62" s="1" t="s">
        <v>16</v>
      </c>
      <c r="O62" s="1" t="str">
        <f t="shared" si="4"/>
        <v>High</v>
      </c>
      <c r="P62" s="1" t="str">
        <f t="shared" si="2"/>
        <v>Permanent</v>
      </c>
    </row>
    <row r="63" spans="1:16" x14ac:dyDescent="0.3">
      <c r="A63" s="7" t="s">
        <v>309</v>
      </c>
      <c r="B63" s="1" t="s">
        <v>310</v>
      </c>
      <c r="C63" s="1" t="s">
        <v>311</v>
      </c>
      <c r="D63" s="1" t="s">
        <v>52</v>
      </c>
      <c r="E63" s="1" t="s">
        <v>314</v>
      </c>
      <c r="F63" s="1">
        <v>11</v>
      </c>
      <c r="G63" s="1" t="str">
        <f t="shared" si="0"/>
        <v>Distribution</v>
      </c>
      <c r="H63" s="1" t="s">
        <v>12</v>
      </c>
      <c r="I63" s="1" t="s">
        <v>36</v>
      </c>
      <c r="J63" s="10">
        <v>0.15486111111111112</v>
      </c>
      <c r="K63" s="1">
        <v>5.47</v>
      </c>
      <c r="L63" s="1" t="s">
        <v>308</v>
      </c>
      <c r="M63" s="1" t="s">
        <v>313</v>
      </c>
      <c r="N63" s="1" t="s">
        <v>16</v>
      </c>
      <c r="O63" s="1" t="str">
        <f t="shared" si="4"/>
        <v>High</v>
      </c>
      <c r="P63" s="1" t="str">
        <f t="shared" si="2"/>
        <v>Permanent</v>
      </c>
    </row>
    <row r="64" spans="1:16" x14ac:dyDescent="0.3">
      <c r="A64" s="7" t="s">
        <v>315</v>
      </c>
      <c r="B64" s="1" t="s">
        <v>316</v>
      </c>
      <c r="C64" s="1" t="s">
        <v>317</v>
      </c>
      <c r="D64" s="1" t="s">
        <v>68</v>
      </c>
      <c r="E64" s="1" t="s">
        <v>318</v>
      </c>
      <c r="F64" s="1">
        <v>11</v>
      </c>
      <c r="G64" s="1" t="str">
        <f t="shared" si="0"/>
        <v>Distribution</v>
      </c>
      <c r="H64" s="1" t="s">
        <v>12</v>
      </c>
      <c r="I64" s="1" t="s">
        <v>13</v>
      </c>
      <c r="J64" s="7" t="s">
        <v>319</v>
      </c>
      <c r="K64" s="1">
        <v>0.45</v>
      </c>
      <c r="L64" s="1" t="s">
        <v>156</v>
      </c>
      <c r="M64" s="1" t="s">
        <v>320</v>
      </c>
      <c r="N64" s="1" t="s">
        <v>16</v>
      </c>
      <c r="O64" s="1" t="str">
        <f t="shared" si="4"/>
        <v>Medium</v>
      </c>
      <c r="P64" s="1" t="str">
        <f t="shared" si="2"/>
        <v>Sustained</v>
      </c>
    </row>
    <row r="65" spans="1:16" x14ac:dyDescent="0.3">
      <c r="A65" s="7" t="s">
        <v>315</v>
      </c>
      <c r="B65" s="1" t="s">
        <v>316</v>
      </c>
      <c r="C65" s="1" t="s">
        <v>317</v>
      </c>
      <c r="D65" s="1" t="s">
        <v>68</v>
      </c>
      <c r="E65" s="1" t="s">
        <v>321</v>
      </c>
      <c r="F65" s="1">
        <v>11</v>
      </c>
      <c r="G65" s="1" t="str">
        <f t="shared" ref="G65:G115" si="5">IF(F65&gt;=132,"Transmission",IF(F65&gt;=66,"Sub-Transmission","Distribution"))</f>
        <v>Distribution</v>
      </c>
      <c r="H65" s="1" t="s">
        <v>12</v>
      </c>
      <c r="I65" s="1" t="s">
        <v>13</v>
      </c>
      <c r="J65" s="7" t="s">
        <v>319</v>
      </c>
      <c r="K65" s="1">
        <v>0.45</v>
      </c>
      <c r="L65" s="1" t="s">
        <v>156</v>
      </c>
      <c r="M65" s="1" t="s">
        <v>320</v>
      </c>
      <c r="N65" s="1" t="s">
        <v>16</v>
      </c>
      <c r="O65" s="1" t="str">
        <f t="shared" si="4"/>
        <v>Medium</v>
      </c>
      <c r="P65" s="1" t="str">
        <f t="shared" ref="P65:P115" si="6">IF(O65="Low","Transient",IF(O65="Medium","Sustained",IF(O65="High","Permanent")))</f>
        <v>Sustained</v>
      </c>
    </row>
    <row r="66" spans="1:16" x14ac:dyDescent="0.3">
      <c r="A66" s="7" t="s">
        <v>323</v>
      </c>
      <c r="B66" s="1" t="s">
        <v>324</v>
      </c>
      <c r="C66" s="1" t="s">
        <v>325</v>
      </c>
      <c r="D66" s="1" t="s">
        <v>19</v>
      </c>
      <c r="E66" s="1" t="s">
        <v>326</v>
      </c>
      <c r="F66" s="1">
        <v>33</v>
      </c>
      <c r="G66" s="1" t="str">
        <f t="shared" si="5"/>
        <v>Distribution</v>
      </c>
      <c r="H66" s="1" t="s">
        <v>12</v>
      </c>
      <c r="I66" s="1" t="s">
        <v>13</v>
      </c>
      <c r="J66" s="7" t="s">
        <v>327</v>
      </c>
      <c r="K66" s="1">
        <v>0.5</v>
      </c>
      <c r="L66" s="1" t="s">
        <v>328</v>
      </c>
      <c r="M66" s="1" t="s">
        <v>329</v>
      </c>
      <c r="N66" s="1" t="s">
        <v>16</v>
      </c>
      <c r="O66" s="1" t="str">
        <f t="shared" si="4"/>
        <v>Medium</v>
      </c>
      <c r="P66" s="1" t="str">
        <f t="shared" si="6"/>
        <v>Sustained</v>
      </c>
    </row>
    <row r="67" spans="1:16" x14ac:dyDescent="0.3">
      <c r="A67" s="7" t="s">
        <v>323</v>
      </c>
      <c r="B67" s="1" t="s">
        <v>324</v>
      </c>
      <c r="C67" s="1" t="s">
        <v>325</v>
      </c>
      <c r="D67" s="1" t="s">
        <v>19</v>
      </c>
      <c r="E67" s="1" t="s">
        <v>330</v>
      </c>
      <c r="F67" s="1">
        <v>33</v>
      </c>
      <c r="G67" s="1" t="str">
        <f t="shared" si="5"/>
        <v>Distribution</v>
      </c>
      <c r="H67" s="1" t="s">
        <v>12</v>
      </c>
      <c r="I67" s="1" t="s">
        <v>13</v>
      </c>
      <c r="J67" s="7" t="s">
        <v>331</v>
      </c>
      <c r="K67" s="1">
        <v>0.72</v>
      </c>
      <c r="L67" s="1" t="s">
        <v>328</v>
      </c>
      <c r="M67" s="1" t="s">
        <v>142</v>
      </c>
      <c r="N67" s="1" t="s">
        <v>16</v>
      </c>
      <c r="O67" s="1" t="str">
        <f t="shared" si="4"/>
        <v>High</v>
      </c>
      <c r="P67" s="1" t="str">
        <f t="shared" si="6"/>
        <v>Permanent</v>
      </c>
    </row>
    <row r="68" spans="1:16" x14ac:dyDescent="0.3">
      <c r="A68" s="7" t="s">
        <v>323</v>
      </c>
      <c r="B68" s="1" t="s">
        <v>296</v>
      </c>
      <c r="C68" s="1" t="s">
        <v>325</v>
      </c>
      <c r="D68" s="1" t="s">
        <v>19</v>
      </c>
      <c r="E68" s="1" t="s">
        <v>332</v>
      </c>
      <c r="F68" s="1">
        <v>33</v>
      </c>
      <c r="G68" s="1" t="str">
        <f t="shared" si="5"/>
        <v>Distribution</v>
      </c>
      <c r="H68" s="1" t="s">
        <v>12</v>
      </c>
      <c r="I68" s="1" t="s">
        <v>13</v>
      </c>
      <c r="J68" s="7" t="s">
        <v>296</v>
      </c>
      <c r="K68" s="1">
        <v>0</v>
      </c>
      <c r="L68" s="1" t="s">
        <v>328</v>
      </c>
      <c r="M68" s="1" t="s">
        <v>145</v>
      </c>
      <c r="N68" s="1" t="s">
        <v>16</v>
      </c>
      <c r="O68" s="1" t="str">
        <f t="shared" si="4"/>
        <v>Low</v>
      </c>
      <c r="P68" s="1" t="str">
        <f t="shared" si="6"/>
        <v>Transient</v>
      </c>
    </row>
    <row r="69" spans="1:16" x14ac:dyDescent="0.3">
      <c r="A69" s="7" t="s">
        <v>323</v>
      </c>
      <c r="B69" s="1" t="s">
        <v>333</v>
      </c>
      <c r="C69" s="1" t="s">
        <v>334</v>
      </c>
      <c r="D69" s="1" t="s">
        <v>235</v>
      </c>
      <c r="E69" s="1" t="s">
        <v>335</v>
      </c>
      <c r="F69" s="1">
        <v>11</v>
      </c>
      <c r="G69" s="1" t="str">
        <f t="shared" si="5"/>
        <v>Distribution</v>
      </c>
      <c r="H69" s="1" t="s">
        <v>12</v>
      </c>
      <c r="I69" s="1" t="s">
        <v>13</v>
      </c>
      <c r="J69" s="7" t="s">
        <v>222</v>
      </c>
      <c r="K69" s="1">
        <v>0.62</v>
      </c>
      <c r="L69" s="1" t="s">
        <v>227</v>
      </c>
      <c r="M69" s="1" t="s">
        <v>336</v>
      </c>
      <c r="N69" s="1" t="s">
        <v>16</v>
      </c>
      <c r="O69" s="1" t="str">
        <f t="shared" si="4"/>
        <v>High</v>
      </c>
      <c r="P69" s="1" t="str">
        <f t="shared" si="6"/>
        <v>Permanent</v>
      </c>
    </row>
    <row r="70" spans="1:16" x14ac:dyDescent="0.3">
      <c r="A70" s="7" t="s">
        <v>323</v>
      </c>
      <c r="B70" s="1" t="s">
        <v>333</v>
      </c>
      <c r="C70" s="1" t="s">
        <v>334</v>
      </c>
      <c r="D70" s="1" t="s">
        <v>235</v>
      </c>
      <c r="E70" s="1" t="s">
        <v>337</v>
      </c>
      <c r="F70" s="1">
        <v>11</v>
      </c>
      <c r="G70" s="1" t="str">
        <f t="shared" si="5"/>
        <v>Distribution</v>
      </c>
      <c r="H70" s="1" t="s">
        <v>12</v>
      </c>
      <c r="I70" s="1" t="s">
        <v>13</v>
      </c>
      <c r="J70" s="7" t="s">
        <v>338</v>
      </c>
      <c r="K70" s="1">
        <v>0.63</v>
      </c>
      <c r="L70" s="1" t="s">
        <v>227</v>
      </c>
      <c r="M70" s="1" t="s">
        <v>339</v>
      </c>
      <c r="N70" s="1" t="s">
        <v>16</v>
      </c>
      <c r="O70" s="1" t="str">
        <f t="shared" si="4"/>
        <v>High</v>
      </c>
      <c r="P70" s="1" t="str">
        <f t="shared" si="6"/>
        <v>Permanent</v>
      </c>
    </row>
    <row r="71" spans="1:16" x14ac:dyDescent="0.3">
      <c r="A71" s="7" t="s">
        <v>323</v>
      </c>
      <c r="B71" s="1" t="s">
        <v>333</v>
      </c>
      <c r="C71" s="1" t="s">
        <v>334</v>
      </c>
      <c r="D71" s="1" t="s">
        <v>235</v>
      </c>
      <c r="E71" s="1" t="s">
        <v>340</v>
      </c>
      <c r="F71" s="1">
        <v>11</v>
      </c>
      <c r="G71" s="1" t="str">
        <f t="shared" si="5"/>
        <v>Distribution</v>
      </c>
      <c r="H71" s="1" t="s">
        <v>12</v>
      </c>
      <c r="I71" s="1" t="s">
        <v>13</v>
      </c>
      <c r="J71" s="7" t="s">
        <v>341</v>
      </c>
      <c r="K71" s="1">
        <v>0.67</v>
      </c>
      <c r="L71" s="1" t="s">
        <v>227</v>
      </c>
      <c r="M71" s="1" t="s">
        <v>342</v>
      </c>
      <c r="N71" s="1" t="s">
        <v>16</v>
      </c>
      <c r="O71" s="1" t="str">
        <f t="shared" si="4"/>
        <v>High</v>
      </c>
      <c r="P71" s="1" t="str">
        <f t="shared" si="6"/>
        <v>Permanent</v>
      </c>
    </row>
    <row r="72" spans="1:16" x14ac:dyDescent="0.3">
      <c r="A72" s="7" t="s">
        <v>344</v>
      </c>
      <c r="B72" s="1" t="s">
        <v>345</v>
      </c>
      <c r="C72" s="1" t="s">
        <v>346</v>
      </c>
      <c r="D72" s="1" t="s">
        <v>52</v>
      </c>
      <c r="E72" s="1" t="s">
        <v>347</v>
      </c>
      <c r="F72" s="1">
        <v>11</v>
      </c>
      <c r="G72" s="1" t="str">
        <f t="shared" si="5"/>
        <v>Distribution</v>
      </c>
      <c r="H72" s="1" t="s">
        <v>348</v>
      </c>
      <c r="I72" s="1" t="s">
        <v>13</v>
      </c>
      <c r="J72" s="7" t="s">
        <v>349</v>
      </c>
      <c r="K72" s="1">
        <v>0.75</v>
      </c>
      <c r="L72" s="1" t="s">
        <v>15</v>
      </c>
      <c r="M72" s="1" t="s">
        <v>350</v>
      </c>
      <c r="N72" s="1" t="s">
        <v>45</v>
      </c>
      <c r="O72" s="1" t="str">
        <f t="shared" si="4"/>
        <v>High</v>
      </c>
      <c r="P72" s="1" t="str">
        <f t="shared" si="6"/>
        <v>Permanent</v>
      </c>
    </row>
    <row r="73" spans="1:16" x14ac:dyDescent="0.3">
      <c r="A73" s="7" t="s">
        <v>344</v>
      </c>
      <c r="B73" s="1" t="s">
        <v>345</v>
      </c>
      <c r="C73" s="1" t="s">
        <v>346</v>
      </c>
      <c r="D73" s="1" t="s">
        <v>52</v>
      </c>
      <c r="E73" s="1" t="s">
        <v>351</v>
      </c>
      <c r="F73" s="1">
        <v>11</v>
      </c>
      <c r="G73" s="1" t="str">
        <f t="shared" si="5"/>
        <v>Distribution</v>
      </c>
      <c r="H73" s="1" t="s">
        <v>348</v>
      </c>
      <c r="I73" s="1" t="s">
        <v>13</v>
      </c>
      <c r="J73" s="7" t="s">
        <v>349</v>
      </c>
      <c r="K73" s="1">
        <v>0.75</v>
      </c>
      <c r="L73" s="1" t="s">
        <v>15</v>
      </c>
      <c r="M73" s="1" t="s">
        <v>166</v>
      </c>
      <c r="N73" s="1" t="s">
        <v>45</v>
      </c>
      <c r="O73" s="1" t="str">
        <f t="shared" si="4"/>
        <v>High</v>
      </c>
      <c r="P73" s="1" t="str">
        <f t="shared" si="6"/>
        <v>Permanent</v>
      </c>
    </row>
    <row r="74" spans="1:16" x14ac:dyDescent="0.3">
      <c r="A74" s="7" t="s">
        <v>352</v>
      </c>
      <c r="B74" s="1" t="s">
        <v>354</v>
      </c>
      <c r="C74" s="1" t="s">
        <v>355</v>
      </c>
      <c r="D74" s="1" t="s">
        <v>356</v>
      </c>
      <c r="E74" s="1" t="s">
        <v>357</v>
      </c>
      <c r="F74" s="1">
        <v>11</v>
      </c>
      <c r="G74" s="1" t="str">
        <f t="shared" si="5"/>
        <v>Distribution</v>
      </c>
      <c r="H74" s="1" t="s">
        <v>12</v>
      </c>
      <c r="I74" s="1" t="s">
        <v>13</v>
      </c>
      <c r="J74" s="7" t="s">
        <v>358</v>
      </c>
      <c r="K74" s="1">
        <v>0.65</v>
      </c>
      <c r="L74" s="1" t="s">
        <v>353</v>
      </c>
      <c r="M74" s="1" t="s">
        <v>142</v>
      </c>
      <c r="N74" s="1" t="s">
        <v>45</v>
      </c>
      <c r="O74" s="1" t="str">
        <f t="shared" si="4"/>
        <v>High</v>
      </c>
      <c r="P74" s="1" t="str">
        <f t="shared" si="6"/>
        <v>Permanent</v>
      </c>
    </row>
    <row r="75" spans="1:16" x14ac:dyDescent="0.3">
      <c r="A75" s="7" t="s">
        <v>352</v>
      </c>
      <c r="B75" s="1" t="s">
        <v>359</v>
      </c>
      <c r="C75" s="1" t="s">
        <v>355</v>
      </c>
      <c r="D75" s="1" t="s">
        <v>356</v>
      </c>
      <c r="E75" s="1" t="s">
        <v>360</v>
      </c>
      <c r="F75" s="1">
        <v>11</v>
      </c>
      <c r="G75" s="1" t="str">
        <f t="shared" si="5"/>
        <v>Distribution</v>
      </c>
      <c r="H75" s="1" t="s">
        <v>12</v>
      </c>
      <c r="I75" s="1" t="s">
        <v>13</v>
      </c>
      <c r="J75" s="7" t="s">
        <v>361</v>
      </c>
      <c r="K75" s="1">
        <v>0.48</v>
      </c>
      <c r="L75" s="1" t="s">
        <v>353</v>
      </c>
      <c r="M75" s="1" t="s">
        <v>362</v>
      </c>
      <c r="N75" s="1" t="s">
        <v>45</v>
      </c>
      <c r="O75" s="1" t="str">
        <f t="shared" si="4"/>
        <v>Medium</v>
      </c>
      <c r="P75" s="1" t="str">
        <f t="shared" si="6"/>
        <v>Sustained</v>
      </c>
    </row>
    <row r="76" spans="1:16" x14ac:dyDescent="0.3">
      <c r="A76" s="7" t="s">
        <v>352</v>
      </c>
      <c r="B76" s="1" t="s">
        <v>359</v>
      </c>
      <c r="C76" s="1" t="s">
        <v>355</v>
      </c>
      <c r="D76" s="1" t="s">
        <v>356</v>
      </c>
      <c r="E76" s="1" t="s">
        <v>363</v>
      </c>
      <c r="F76" s="1">
        <v>11</v>
      </c>
      <c r="G76" s="1" t="str">
        <f t="shared" si="5"/>
        <v>Distribution</v>
      </c>
      <c r="H76" s="1" t="s">
        <v>12</v>
      </c>
      <c r="I76" s="1" t="s">
        <v>13</v>
      </c>
      <c r="J76" s="7" t="s">
        <v>361</v>
      </c>
      <c r="K76" s="1">
        <v>0.48</v>
      </c>
      <c r="L76" s="1" t="s">
        <v>353</v>
      </c>
      <c r="M76" s="1" t="s">
        <v>364</v>
      </c>
      <c r="N76" s="1" t="s">
        <v>45</v>
      </c>
      <c r="O76" s="1" t="str">
        <f t="shared" si="4"/>
        <v>Medium</v>
      </c>
      <c r="P76" s="1" t="str">
        <f t="shared" si="6"/>
        <v>Sustained</v>
      </c>
    </row>
    <row r="77" spans="1:16" x14ac:dyDescent="0.3">
      <c r="A77" s="7" t="s">
        <v>365</v>
      </c>
      <c r="B77" s="1" t="s">
        <v>366</v>
      </c>
      <c r="C77" s="1" t="s">
        <v>367</v>
      </c>
      <c r="D77" s="1" t="s">
        <v>290</v>
      </c>
      <c r="E77" s="1" t="s">
        <v>368</v>
      </c>
      <c r="F77" s="1">
        <v>11</v>
      </c>
      <c r="G77" s="1" t="str">
        <f t="shared" si="5"/>
        <v>Distribution</v>
      </c>
      <c r="H77" s="1" t="s">
        <v>12</v>
      </c>
      <c r="I77" s="1" t="s">
        <v>13</v>
      </c>
      <c r="J77" s="7" t="s">
        <v>369</v>
      </c>
      <c r="K77" s="1">
        <v>1.32</v>
      </c>
      <c r="L77" s="1" t="s">
        <v>370</v>
      </c>
      <c r="M77" s="1" t="s">
        <v>371</v>
      </c>
      <c r="N77" s="1" t="s">
        <v>45</v>
      </c>
      <c r="O77" s="1" t="str">
        <f t="shared" si="4"/>
        <v>High</v>
      </c>
      <c r="P77" s="1" t="str">
        <f t="shared" si="6"/>
        <v>Permanent</v>
      </c>
    </row>
    <row r="78" spans="1:16" x14ac:dyDescent="0.3">
      <c r="A78" s="7" t="s">
        <v>372</v>
      </c>
      <c r="B78" s="1" t="s">
        <v>373</v>
      </c>
      <c r="C78" s="1" t="s">
        <v>374</v>
      </c>
      <c r="D78" s="1" t="s">
        <v>77</v>
      </c>
      <c r="E78" s="1" t="s">
        <v>375</v>
      </c>
      <c r="F78" s="1">
        <v>33</v>
      </c>
      <c r="G78" s="1" t="str">
        <f t="shared" si="5"/>
        <v>Distribution</v>
      </c>
      <c r="H78" s="1" t="s">
        <v>12</v>
      </c>
      <c r="I78" s="1" t="s">
        <v>13</v>
      </c>
      <c r="J78" s="7" t="s">
        <v>376</v>
      </c>
      <c r="K78" s="1">
        <v>2.75</v>
      </c>
      <c r="L78" s="1" t="s">
        <v>51</v>
      </c>
      <c r="M78" s="1" t="s">
        <v>377</v>
      </c>
      <c r="N78" s="1" t="s">
        <v>45</v>
      </c>
      <c r="O78" s="1" t="str">
        <f t="shared" si="4"/>
        <v>High</v>
      </c>
      <c r="P78" s="1" t="str">
        <f t="shared" si="6"/>
        <v>Permanent</v>
      </c>
    </row>
    <row r="79" spans="1:16" x14ac:dyDescent="0.3">
      <c r="A79" s="7" t="s">
        <v>372</v>
      </c>
      <c r="B79" s="1" t="s">
        <v>373</v>
      </c>
      <c r="C79" s="1" t="s">
        <v>374</v>
      </c>
      <c r="D79" s="1" t="s">
        <v>77</v>
      </c>
      <c r="E79" s="1" t="s">
        <v>378</v>
      </c>
      <c r="F79" s="1">
        <v>33</v>
      </c>
      <c r="G79" s="1" t="str">
        <f t="shared" si="5"/>
        <v>Distribution</v>
      </c>
      <c r="H79" s="1" t="s">
        <v>12</v>
      </c>
      <c r="I79" s="1" t="s">
        <v>13</v>
      </c>
      <c r="J79" s="7" t="s">
        <v>379</v>
      </c>
      <c r="K79" s="1">
        <v>4.5</v>
      </c>
      <c r="L79" s="1" t="s">
        <v>51</v>
      </c>
      <c r="M79" s="1" t="s">
        <v>377</v>
      </c>
      <c r="N79" s="1" t="s">
        <v>45</v>
      </c>
      <c r="O79" s="1" t="str">
        <f t="shared" si="4"/>
        <v>High</v>
      </c>
      <c r="P79" s="1" t="str">
        <f t="shared" si="6"/>
        <v>Permanent</v>
      </c>
    </row>
    <row r="80" spans="1:16" x14ac:dyDescent="0.3">
      <c r="A80" s="7" t="s">
        <v>381</v>
      </c>
      <c r="B80" s="1" t="s">
        <v>382</v>
      </c>
      <c r="C80" s="1" t="s">
        <v>384</v>
      </c>
      <c r="D80" s="1" t="s">
        <v>70</v>
      </c>
      <c r="E80" s="1" t="s">
        <v>386</v>
      </c>
      <c r="F80" s="1">
        <v>11</v>
      </c>
      <c r="G80" s="1" t="str">
        <f t="shared" si="5"/>
        <v>Distribution</v>
      </c>
      <c r="H80" s="1" t="s">
        <v>12</v>
      </c>
      <c r="I80" s="1" t="s">
        <v>13</v>
      </c>
      <c r="J80" s="7" t="s">
        <v>343</v>
      </c>
      <c r="K80" s="1">
        <v>3.48</v>
      </c>
      <c r="L80" s="1" t="s">
        <v>385</v>
      </c>
      <c r="M80" s="1" t="s">
        <v>383</v>
      </c>
      <c r="N80" s="1" t="s">
        <v>61</v>
      </c>
      <c r="O80" s="1" t="str">
        <f t="shared" ref="O80:O108" si="7">IF(K80&lt;=0.083,"Low",IF(K80&lt;=0.5,"Medium",IF(K80&gt;0.5,"High")))</f>
        <v>High</v>
      </c>
      <c r="P80" s="1" t="str">
        <f t="shared" si="6"/>
        <v>Permanent</v>
      </c>
    </row>
    <row r="81" spans="1:16" x14ac:dyDescent="0.3">
      <c r="A81" s="7" t="s">
        <v>381</v>
      </c>
      <c r="B81" s="1" t="s">
        <v>382</v>
      </c>
      <c r="C81" s="1" t="s">
        <v>384</v>
      </c>
      <c r="D81" s="1" t="s">
        <v>70</v>
      </c>
      <c r="E81" s="1" t="s">
        <v>387</v>
      </c>
      <c r="F81" s="1">
        <v>11</v>
      </c>
      <c r="G81" s="1" t="str">
        <f t="shared" si="5"/>
        <v>Distribution</v>
      </c>
      <c r="H81" s="1" t="s">
        <v>12</v>
      </c>
      <c r="I81" s="1" t="s">
        <v>13</v>
      </c>
      <c r="J81" s="7" t="s">
        <v>343</v>
      </c>
      <c r="K81" s="1">
        <v>3.48</v>
      </c>
      <c r="L81" s="1" t="s">
        <v>385</v>
      </c>
      <c r="M81" s="1" t="s">
        <v>383</v>
      </c>
      <c r="N81" s="1" t="s">
        <v>61</v>
      </c>
      <c r="O81" s="1" t="str">
        <f t="shared" si="7"/>
        <v>High</v>
      </c>
      <c r="P81" s="1" t="str">
        <f t="shared" si="6"/>
        <v>Permanent</v>
      </c>
    </row>
    <row r="82" spans="1:16" x14ac:dyDescent="0.3">
      <c r="A82" s="7" t="s">
        <v>381</v>
      </c>
      <c r="B82" s="1" t="s">
        <v>382</v>
      </c>
      <c r="C82" s="1" t="s">
        <v>384</v>
      </c>
      <c r="D82" s="1" t="s">
        <v>290</v>
      </c>
      <c r="E82" s="1" t="s">
        <v>388</v>
      </c>
      <c r="F82" s="1">
        <v>11</v>
      </c>
      <c r="G82" s="1" t="str">
        <f t="shared" si="5"/>
        <v>Distribution</v>
      </c>
      <c r="H82" s="1" t="s">
        <v>12</v>
      </c>
      <c r="I82" s="1" t="s">
        <v>13</v>
      </c>
      <c r="J82" s="7" t="s">
        <v>389</v>
      </c>
      <c r="K82" s="1">
        <v>4.45</v>
      </c>
      <c r="L82" s="1" t="s">
        <v>353</v>
      </c>
      <c r="M82" s="1" t="s">
        <v>390</v>
      </c>
      <c r="N82" s="1" t="s">
        <v>61</v>
      </c>
      <c r="O82" s="1" t="str">
        <f t="shared" si="7"/>
        <v>High</v>
      </c>
      <c r="P82" s="1" t="str">
        <f t="shared" si="6"/>
        <v>Permanent</v>
      </c>
    </row>
    <row r="83" spans="1:16" x14ac:dyDescent="0.3">
      <c r="A83" s="7" t="s">
        <v>391</v>
      </c>
      <c r="B83" s="1" t="s">
        <v>322</v>
      </c>
      <c r="C83" s="1" t="s">
        <v>392</v>
      </c>
      <c r="D83" s="1" t="s">
        <v>102</v>
      </c>
      <c r="E83" s="1" t="s">
        <v>393</v>
      </c>
      <c r="F83" s="1">
        <v>11</v>
      </c>
      <c r="G83" s="1" t="str">
        <f t="shared" si="5"/>
        <v>Distribution</v>
      </c>
      <c r="H83" s="1" t="s">
        <v>12</v>
      </c>
      <c r="I83" s="1" t="s">
        <v>13</v>
      </c>
      <c r="J83" s="7" t="s">
        <v>191</v>
      </c>
      <c r="K83" s="1">
        <v>4.28</v>
      </c>
      <c r="L83" s="1" t="s">
        <v>394</v>
      </c>
      <c r="M83" s="1" t="s">
        <v>395</v>
      </c>
      <c r="N83" s="1" t="s">
        <v>61</v>
      </c>
      <c r="O83" s="1" t="str">
        <f t="shared" si="7"/>
        <v>High</v>
      </c>
      <c r="P83" s="1" t="str">
        <f t="shared" si="6"/>
        <v>Permanent</v>
      </c>
    </row>
    <row r="84" spans="1:16" x14ac:dyDescent="0.3">
      <c r="A84" s="7" t="s">
        <v>391</v>
      </c>
      <c r="B84" s="1" t="s">
        <v>322</v>
      </c>
      <c r="C84" s="1" t="s">
        <v>392</v>
      </c>
      <c r="D84" s="1" t="s">
        <v>102</v>
      </c>
      <c r="E84" s="1" t="s">
        <v>396</v>
      </c>
      <c r="F84" s="1">
        <v>11</v>
      </c>
      <c r="G84" s="1" t="str">
        <f t="shared" si="5"/>
        <v>Distribution</v>
      </c>
      <c r="H84" s="1" t="s">
        <v>12</v>
      </c>
      <c r="I84" s="1" t="s">
        <v>13</v>
      </c>
      <c r="J84" s="7" t="s">
        <v>120</v>
      </c>
      <c r="K84" s="1">
        <v>0</v>
      </c>
      <c r="L84" s="1" t="s">
        <v>394</v>
      </c>
      <c r="M84" s="1" t="s">
        <v>230</v>
      </c>
      <c r="N84" s="1" t="s">
        <v>61</v>
      </c>
      <c r="O84" s="1" t="str">
        <f t="shared" si="7"/>
        <v>Low</v>
      </c>
      <c r="P84" s="1" t="str">
        <f t="shared" si="6"/>
        <v>Transient</v>
      </c>
    </row>
    <row r="85" spans="1:16" x14ac:dyDescent="0.3">
      <c r="A85" s="7" t="s">
        <v>391</v>
      </c>
      <c r="B85" s="1" t="s">
        <v>322</v>
      </c>
      <c r="C85" s="1" t="s">
        <v>392</v>
      </c>
      <c r="D85" s="1" t="s">
        <v>102</v>
      </c>
      <c r="E85" s="1" t="s">
        <v>397</v>
      </c>
      <c r="F85" s="1">
        <v>11</v>
      </c>
      <c r="G85" s="1" t="str">
        <f t="shared" si="5"/>
        <v>Distribution</v>
      </c>
      <c r="H85" s="1" t="s">
        <v>12</v>
      </c>
      <c r="I85" s="1" t="s">
        <v>13</v>
      </c>
      <c r="J85" s="7" t="s">
        <v>229</v>
      </c>
      <c r="K85" s="1">
        <v>0.75</v>
      </c>
      <c r="L85" s="1" t="s">
        <v>394</v>
      </c>
      <c r="M85" s="1" t="s">
        <v>398</v>
      </c>
      <c r="N85" s="1" t="s">
        <v>61</v>
      </c>
      <c r="O85" s="1" t="str">
        <f t="shared" si="7"/>
        <v>High</v>
      </c>
      <c r="P85" s="1" t="str">
        <f t="shared" si="6"/>
        <v>Permanent</v>
      </c>
    </row>
    <row r="86" spans="1:16" x14ac:dyDescent="0.3">
      <c r="A86" s="7" t="s">
        <v>391</v>
      </c>
      <c r="B86" s="1" t="s">
        <v>322</v>
      </c>
      <c r="C86" s="1" t="s">
        <v>392</v>
      </c>
      <c r="D86" s="1" t="s">
        <v>102</v>
      </c>
      <c r="E86" s="1" t="s">
        <v>399</v>
      </c>
      <c r="F86" s="1">
        <v>11</v>
      </c>
      <c r="G86" s="1" t="str">
        <f t="shared" si="5"/>
        <v>Distribution</v>
      </c>
      <c r="H86" s="1" t="s">
        <v>12</v>
      </c>
      <c r="I86" s="1" t="s">
        <v>13</v>
      </c>
      <c r="J86" s="7" t="s">
        <v>120</v>
      </c>
      <c r="K86" s="1">
        <v>0</v>
      </c>
      <c r="L86" s="1" t="s">
        <v>394</v>
      </c>
      <c r="M86" s="1" t="s">
        <v>230</v>
      </c>
      <c r="N86" s="1" t="s">
        <v>61</v>
      </c>
      <c r="O86" s="1" t="str">
        <f t="shared" si="7"/>
        <v>Low</v>
      </c>
      <c r="P86" s="1" t="str">
        <f t="shared" si="6"/>
        <v>Transient</v>
      </c>
    </row>
    <row r="87" spans="1:16" x14ac:dyDescent="0.3">
      <c r="A87" s="7" t="s">
        <v>381</v>
      </c>
      <c r="B87" s="1" t="s">
        <v>382</v>
      </c>
      <c r="C87" s="1" t="s">
        <v>384</v>
      </c>
      <c r="D87" s="1" t="s">
        <v>70</v>
      </c>
      <c r="E87" s="1" t="s">
        <v>386</v>
      </c>
      <c r="F87" s="1">
        <v>11</v>
      </c>
      <c r="G87" s="1" t="str">
        <f t="shared" si="5"/>
        <v>Distribution</v>
      </c>
      <c r="H87" s="1" t="s">
        <v>12</v>
      </c>
      <c r="I87" s="1" t="s">
        <v>13</v>
      </c>
      <c r="J87" s="7" t="s">
        <v>343</v>
      </c>
      <c r="K87" s="1">
        <v>3.48</v>
      </c>
      <c r="L87" s="1" t="s">
        <v>385</v>
      </c>
      <c r="M87" s="1" t="s">
        <v>383</v>
      </c>
      <c r="N87" s="1" t="s">
        <v>61</v>
      </c>
      <c r="O87" s="1" t="str">
        <f t="shared" si="7"/>
        <v>High</v>
      </c>
      <c r="P87" s="1" t="str">
        <f t="shared" si="6"/>
        <v>Permanent</v>
      </c>
    </row>
    <row r="88" spans="1:16" x14ac:dyDescent="0.3">
      <c r="A88" s="7" t="s">
        <v>381</v>
      </c>
      <c r="B88" s="1" t="s">
        <v>382</v>
      </c>
      <c r="C88" s="1" t="s">
        <v>384</v>
      </c>
      <c r="D88" s="1" t="s">
        <v>70</v>
      </c>
      <c r="E88" s="1" t="s">
        <v>387</v>
      </c>
      <c r="F88" s="1">
        <v>11</v>
      </c>
      <c r="G88" s="1" t="str">
        <f t="shared" si="5"/>
        <v>Distribution</v>
      </c>
      <c r="H88" s="1" t="s">
        <v>12</v>
      </c>
      <c r="I88" s="1" t="s">
        <v>13</v>
      </c>
      <c r="J88" s="7" t="s">
        <v>343</v>
      </c>
      <c r="K88" s="1">
        <v>3.48</v>
      </c>
      <c r="L88" s="1" t="s">
        <v>385</v>
      </c>
      <c r="M88" s="1" t="s">
        <v>383</v>
      </c>
      <c r="N88" s="1" t="s">
        <v>61</v>
      </c>
      <c r="O88" s="1" t="str">
        <f t="shared" si="7"/>
        <v>High</v>
      </c>
      <c r="P88" s="1" t="str">
        <f t="shared" si="6"/>
        <v>Permanent</v>
      </c>
    </row>
    <row r="89" spans="1:16" x14ac:dyDescent="0.3">
      <c r="A89" s="7" t="s">
        <v>381</v>
      </c>
      <c r="B89" s="1" t="s">
        <v>382</v>
      </c>
      <c r="C89" s="1" t="s">
        <v>384</v>
      </c>
      <c r="D89" s="1" t="s">
        <v>290</v>
      </c>
      <c r="E89" s="1" t="s">
        <v>388</v>
      </c>
      <c r="F89" s="1">
        <v>11</v>
      </c>
      <c r="G89" s="1" t="str">
        <f t="shared" si="5"/>
        <v>Distribution</v>
      </c>
      <c r="H89" s="1" t="s">
        <v>12</v>
      </c>
      <c r="I89" s="1" t="s">
        <v>13</v>
      </c>
      <c r="J89" s="7" t="s">
        <v>389</v>
      </c>
      <c r="K89" s="1">
        <v>4.45</v>
      </c>
      <c r="L89" s="1" t="s">
        <v>353</v>
      </c>
      <c r="M89" s="1" t="s">
        <v>390</v>
      </c>
      <c r="N89" s="1" t="s">
        <v>61</v>
      </c>
      <c r="O89" s="1" t="str">
        <f t="shared" si="7"/>
        <v>High</v>
      </c>
      <c r="P89" s="1" t="str">
        <f t="shared" si="6"/>
        <v>Permanent</v>
      </c>
    </row>
    <row r="90" spans="1:16" x14ac:dyDescent="0.3">
      <c r="A90" s="7" t="s">
        <v>391</v>
      </c>
      <c r="B90" s="1" t="s">
        <v>322</v>
      </c>
      <c r="C90" s="1" t="s">
        <v>392</v>
      </c>
      <c r="D90" s="1" t="s">
        <v>102</v>
      </c>
      <c r="E90" s="1" t="s">
        <v>393</v>
      </c>
      <c r="F90" s="1">
        <v>11</v>
      </c>
      <c r="G90" s="1" t="str">
        <f t="shared" si="5"/>
        <v>Distribution</v>
      </c>
      <c r="H90" s="1" t="s">
        <v>12</v>
      </c>
      <c r="I90" s="1" t="s">
        <v>13</v>
      </c>
      <c r="J90" s="7" t="s">
        <v>191</v>
      </c>
      <c r="K90" s="1">
        <v>4.28</v>
      </c>
      <c r="L90" s="1" t="s">
        <v>394</v>
      </c>
      <c r="M90" s="1" t="s">
        <v>395</v>
      </c>
      <c r="N90" s="1" t="s">
        <v>61</v>
      </c>
      <c r="O90" s="1" t="str">
        <f t="shared" si="7"/>
        <v>High</v>
      </c>
      <c r="P90" s="1" t="str">
        <f t="shared" si="6"/>
        <v>Permanent</v>
      </c>
    </row>
    <row r="91" spans="1:16" x14ac:dyDescent="0.3">
      <c r="A91" s="7" t="s">
        <v>391</v>
      </c>
      <c r="B91" s="1" t="s">
        <v>322</v>
      </c>
      <c r="C91" s="1" t="s">
        <v>392</v>
      </c>
      <c r="D91" s="1" t="s">
        <v>102</v>
      </c>
      <c r="E91" s="1" t="s">
        <v>396</v>
      </c>
      <c r="F91" s="1">
        <v>11</v>
      </c>
      <c r="G91" s="1" t="str">
        <f t="shared" si="5"/>
        <v>Distribution</v>
      </c>
      <c r="H91" s="1" t="s">
        <v>12</v>
      </c>
      <c r="I91" s="1" t="s">
        <v>13</v>
      </c>
      <c r="J91" s="7" t="s">
        <v>120</v>
      </c>
      <c r="K91" s="1">
        <v>0</v>
      </c>
      <c r="L91" s="1" t="s">
        <v>394</v>
      </c>
      <c r="M91" s="1" t="s">
        <v>230</v>
      </c>
      <c r="N91" s="1" t="s">
        <v>61</v>
      </c>
      <c r="O91" s="1" t="str">
        <f t="shared" si="7"/>
        <v>Low</v>
      </c>
      <c r="P91" s="1" t="str">
        <f t="shared" si="6"/>
        <v>Transient</v>
      </c>
    </row>
    <row r="92" spans="1:16" x14ac:dyDescent="0.3">
      <c r="A92" s="7" t="s">
        <v>391</v>
      </c>
      <c r="B92" s="1" t="s">
        <v>322</v>
      </c>
      <c r="C92" s="1" t="s">
        <v>392</v>
      </c>
      <c r="D92" s="1" t="s">
        <v>102</v>
      </c>
      <c r="E92" s="1" t="s">
        <v>397</v>
      </c>
      <c r="F92" s="1">
        <v>11</v>
      </c>
      <c r="G92" s="1" t="str">
        <f t="shared" si="5"/>
        <v>Distribution</v>
      </c>
      <c r="H92" s="1" t="s">
        <v>12</v>
      </c>
      <c r="I92" s="1" t="s">
        <v>13</v>
      </c>
      <c r="J92" s="7" t="s">
        <v>229</v>
      </c>
      <c r="K92" s="1">
        <v>0.75</v>
      </c>
      <c r="L92" s="1" t="s">
        <v>394</v>
      </c>
      <c r="M92" s="1" t="s">
        <v>398</v>
      </c>
      <c r="N92" s="1" t="s">
        <v>61</v>
      </c>
      <c r="O92" s="1" t="str">
        <f t="shared" si="7"/>
        <v>High</v>
      </c>
      <c r="P92" s="1" t="str">
        <f t="shared" si="6"/>
        <v>Permanent</v>
      </c>
    </row>
    <row r="93" spans="1:16" x14ac:dyDescent="0.3">
      <c r="A93" s="7" t="s">
        <v>391</v>
      </c>
      <c r="B93" s="1" t="s">
        <v>322</v>
      </c>
      <c r="C93" s="1" t="s">
        <v>392</v>
      </c>
      <c r="D93" s="1" t="s">
        <v>102</v>
      </c>
      <c r="E93" s="1" t="s">
        <v>399</v>
      </c>
      <c r="F93" s="1">
        <v>11</v>
      </c>
      <c r="G93" s="1" t="str">
        <f t="shared" si="5"/>
        <v>Distribution</v>
      </c>
      <c r="H93" s="1" t="s">
        <v>12</v>
      </c>
      <c r="I93" s="1" t="s">
        <v>13</v>
      </c>
      <c r="J93" s="7" t="s">
        <v>120</v>
      </c>
      <c r="K93" s="1">
        <v>0</v>
      </c>
      <c r="L93" s="1" t="s">
        <v>394</v>
      </c>
      <c r="M93" s="1" t="s">
        <v>230</v>
      </c>
      <c r="N93" s="1" t="s">
        <v>61</v>
      </c>
      <c r="O93" s="1" t="str">
        <f t="shared" si="7"/>
        <v>Low</v>
      </c>
      <c r="P93" s="1" t="str">
        <f t="shared" si="6"/>
        <v>Transient</v>
      </c>
    </row>
    <row r="94" spans="1:16" x14ac:dyDescent="0.3">
      <c r="A94" s="7" t="s">
        <v>400</v>
      </c>
      <c r="B94" s="1" t="s">
        <v>401</v>
      </c>
      <c r="C94" s="1" t="s">
        <v>402</v>
      </c>
      <c r="D94" s="1" t="s">
        <v>403</v>
      </c>
      <c r="E94" s="1" t="s">
        <v>404</v>
      </c>
      <c r="F94" s="1">
        <v>11</v>
      </c>
      <c r="G94" s="1" t="str">
        <f t="shared" si="5"/>
        <v>Distribution</v>
      </c>
      <c r="H94" s="1" t="s">
        <v>12</v>
      </c>
      <c r="I94" s="1" t="s">
        <v>13</v>
      </c>
      <c r="J94" s="10">
        <v>0.1125</v>
      </c>
      <c r="K94" s="1">
        <v>1.68</v>
      </c>
      <c r="L94" s="1" t="s">
        <v>201</v>
      </c>
      <c r="M94" s="1" t="s">
        <v>405</v>
      </c>
      <c r="N94" s="1" t="s">
        <v>135</v>
      </c>
      <c r="O94" s="1" t="str">
        <f t="shared" si="7"/>
        <v>High</v>
      </c>
      <c r="P94" s="1" t="str">
        <f t="shared" si="6"/>
        <v>Permanent</v>
      </c>
    </row>
    <row r="95" spans="1:16" x14ac:dyDescent="0.3">
      <c r="A95" s="7" t="s">
        <v>400</v>
      </c>
      <c r="B95" s="1" t="s">
        <v>401</v>
      </c>
      <c r="C95" s="1" t="s">
        <v>402</v>
      </c>
      <c r="D95" s="1" t="s">
        <v>403</v>
      </c>
      <c r="E95" s="1" t="s">
        <v>406</v>
      </c>
      <c r="F95" s="1">
        <v>11</v>
      </c>
      <c r="G95" s="1" t="str">
        <f t="shared" si="5"/>
        <v>Distribution</v>
      </c>
      <c r="H95" s="1" t="s">
        <v>12</v>
      </c>
      <c r="I95" s="1" t="s">
        <v>13</v>
      </c>
      <c r="J95" s="10">
        <v>0.1125</v>
      </c>
      <c r="K95" s="1">
        <v>1.68</v>
      </c>
      <c r="L95" s="1" t="s">
        <v>201</v>
      </c>
      <c r="M95" s="1" t="s">
        <v>142</v>
      </c>
      <c r="N95" s="1" t="s">
        <v>135</v>
      </c>
      <c r="O95" s="1" t="str">
        <f t="shared" si="7"/>
        <v>High</v>
      </c>
      <c r="P95" s="1" t="str">
        <f t="shared" si="6"/>
        <v>Permanent</v>
      </c>
    </row>
    <row r="96" spans="1:16" x14ac:dyDescent="0.3">
      <c r="A96" s="7" t="s">
        <v>400</v>
      </c>
      <c r="B96" s="1" t="s">
        <v>401</v>
      </c>
      <c r="C96" s="1" t="s">
        <v>402</v>
      </c>
      <c r="D96" s="1" t="s">
        <v>403</v>
      </c>
      <c r="E96" s="1" t="s">
        <v>407</v>
      </c>
      <c r="F96" s="1">
        <v>11</v>
      </c>
      <c r="G96" s="1" t="str">
        <f t="shared" si="5"/>
        <v>Distribution</v>
      </c>
      <c r="H96" s="1" t="s">
        <v>12</v>
      </c>
      <c r="I96" s="1" t="s">
        <v>13</v>
      </c>
      <c r="J96" s="10">
        <v>0.1125</v>
      </c>
      <c r="K96" s="1">
        <v>1.68</v>
      </c>
      <c r="L96" s="1" t="s">
        <v>201</v>
      </c>
      <c r="M96" s="1" t="s">
        <v>142</v>
      </c>
      <c r="N96" s="1" t="s">
        <v>135</v>
      </c>
      <c r="O96" s="1" t="str">
        <f t="shared" si="7"/>
        <v>High</v>
      </c>
      <c r="P96" s="1" t="str">
        <f t="shared" si="6"/>
        <v>Permanent</v>
      </c>
    </row>
    <row r="97" spans="1:16" x14ac:dyDescent="0.3">
      <c r="A97" s="7" t="s">
        <v>400</v>
      </c>
      <c r="B97" s="1" t="s">
        <v>401</v>
      </c>
      <c r="C97" s="1" t="s">
        <v>402</v>
      </c>
      <c r="D97" s="1" t="s">
        <v>403</v>
      </c>
      <c r="E97" s="1" t="s">
        <v>408</v>
      </c>
      <c r="F97" s="1">
        <v>11</v>
      </c>
      <c r="G97" s="1" t="str">
        <f t="shared" si="5"/>
        <v>Distribution</v>
      </c>
      <c r="H97" s="1" t="s">
        <v>12</v>
      </c>
      <c r="I97" s="1" t="s">
        <v>13</v>
      </c>
      <c r="J97" s="10">
        <v>0.1125</v>
      </c>
      <c r="K97" s="1">
        <v>1.68</v>
      </c>
      <c r="L97" s="1" t="s">
        <v>201</v>
      </c>
      <c r="M97" s="1" t="s">
        <v>142</v>
      </c>
      <c r="N97" s="1" t="s">
        <v>135</v>
      </c>
      <c r="O97" s="1" t="str">
        <f t="shared" si="7"/>
        <v>High</v>
      </c>
      <c r="P97" s="1" t="str">
        <f t="shared" si="6"/>
        <v>Permanent</v>
      </c>
    </row>
    <row r="98" spans="1:16" x14ac:dyDescent="0.3">
      <c r="A98" s="7" t="s">
        <v>409</v>
      </c>
      <c r="B98" s="1" t="s">
        <v>410</v>
      </c>
      <c r="C98" s="1" t="s">
        <v>411</v>
      </c>
      <c r="D98" s="1" t="s">
        <v>412</v>
      </c>
      <c r="E98" s="1" t="s">
        <v>413</v>
      </c>
      <c r="F98" s="1">
        <v>11</v>
      </c>
      <c r="G98" s="1" t="str">
        <f t="shared" si="5"/>
        <v>Distribution</v>
      </c>
      <c r="H98" s="1" t="s">
        <v>17</v>
      </c>
      <c r="I98" s="1" t="s">
        <v>13</v>
      </c>
      <c r="J98" s="7" t="s">
        <v>414</v>
      </c>
      <c r="K98" s="1">
        <v>1.92</v>
      </c>
      <c r="L98" s="1" t="s">
        <v>353</v>
      </c>
      <c r="M98" s="1" t="s">
        <v>415</v>
      </c>
      <c r="N98" s="1" t="s">
        <v>135</v>
      </c>
      <c r="O98" s="1" t="str">
        <f t="shared" si="7"/>
        <v>High</v>
      </c>
      <c r="P98" s="1" t="str">
        <f t="shared" si="6"/>
        <v>Permanent</v>
      </c>
    </row>
    <row r="99" spans="1:16" x14ac:dyDescent="0.3">
      <c r="A99" s="7" t="s">
        <v>409</v>
      </c>
      <c r="B99" s="1" t="s">
        <v>410</v>
      </c>
      <c r="C99" s="1" t="s">
        <v>411</v>
      </c>
      <c r="D99" s="1" t="s">
        <v>412</v>
      </c>
      <c r="E99" s="1" t="s">
        <v>416</v>
      </c>
      <c r="F99" s="1">
        <v>11</v>
      </c>
      <c r="G99" s="1" t="str">
        <f t="shared" si="5"/>
        <v>Distribution</v>
      </c>
      <c r="H99" s="1" t="s">
        <v>17</v>
      </c>
      <c r="I99" s="1" t="s">
        <v>13</v>
      </c>
      <c r="J99" s="7" t="s">
        <v>417</v>
      </c>
      <c r="K99" s="1">
        <v>1.95</v>
      </c>
      <c r="L99" s="1" t="s">
        <v>353</v>
      </c>
      <c r="M99" s="1" t="s">
        <v>142</v>
      </c>
      <c r="N99" s="1" t="s">
        <v>135</v>
      </c>
      <c r="O99" s="1" t="str">
        <f t="shared" si="7"/>
        <v>High</v>
      </c>
      <c r="P99" s="1" t="str">
        <f t="shared" si="6"/>
        <v>Permanent</v>
      </c>
    </row>
    <row r="100" spans="1:16" x14ac:dyDescent="0.3">
      <c r="A100" s="7" t="s">
        <v>418</v>
      </c>
      <c r="B100" s="1" t="s">
        <v>419</v>
      </c>
      <c r="C100" s="1" t="s">
        <v>420</v>
      </c>
      <c r="D100" s="1" t="s">
        <v>235</v>
      </c>
      <c r="E100" s="1" t="s">
        <v>421</v>
      </c>
      <c r="F100" s="1">
        <v>11</v>
      </c>
      <c r="G100" s="1" t="str">
        <f t="shared" si="5"/>
        <v>Distribution</v>
      </c>
      <c r="H100" s="1" t="s">
        <v>12</v>
      </c>
      <c r="I100" s="1" t="s">
        <v>13</v>
      </c>
      <c r="J100" s="7" t="s">
        <v>422</v>
      </c>
      <c r="K100" s="1">
        <v>0.77</v>
      </c>
      <c r="L100" s="1" t="s">
        <v>423</v>
      </c>
      <c r="M100" s="1" t="s">
        <v>424</v>
      </c>
      <c r="N100" s="1" t="s">
        <v>135</v>
      </c>
      <c r="O100" s="1" t="str">
        <f t="shared" si="7"/>
        <v>High</v>
      </c>
      <c r="P100" s="1" t="str">
        <f t="shared" si="6"/>
        <v>Permanent</v>
      </c>
    </row>
    <row r="101" spans="1:16" x14ac:dyDescent="0.3">
      <c r="A101" s="7" t="s">
        <v>418</v>
      </c>
      <c r="B101" s="1" t="s">
        <v>427</v>
      </c>
      <c r="C101" s="1" t="s">
        <v>420</v>
      </c>
      <c r="D101" s="1" t="s">
        <v>23</v>
      </c>
      <c r="E101" s="1" t="s">
        <v>428</v>
      </c>
      <c r="F101" s="1">
        <v>33</v>
      </c>
      <c r="G101" s="1" t="str">
        <f t="shared" si="5"/>
        <v>Distribution</v>
      </c>
      <c r="H101" s="1" t="s">
        <v>17</v>
      </c>
      <c r="I101" s="1" t="s">
        <v>13</v>
      </c>
      <c r="J101" s="7" t="s">
        <v>429</v>
      </c>
      <c r="K101" s="1">
        <v>3.18</v>
      </c>
      <c r="L101" s="1" t="s">
        <v>430</v>
      </c>
      <c r="M101" s="1" t="s">
        <v>431</v>
      </c>
      <c r="N101" s="1" t="s">
        <v>135</v>
      </c>
      <c r="O101" s="1" t="str">
        <f t="shared" si="7"/>
        <v>High</v>
      </c>
      <c r="P101" s="1" t="str">
        <f t="shared" si="6"/>
        <v>Permanent</v>
      </c>
    </row>
    <row r="102" spans="1:16" x14ac:dyDescent="0.3">
      <c r="A102" s="7" t="s">
        <v>418</v>
      </c>
      <c r="B102" s="1" t="s">
        <v>427</v>
      </c>
      <c r="C102" s="1" t="s">
        <v>420</v>
      </c>
      <c r="D102" s="1" t="s">
        <v>23</v>
      </c>
      <c r="E102" s="1" t="s">
        <v>432</v>
      </c>
      <c r="F102" s="1">
        <v>33</v>
      </c>
      <c r="G102" s="1" t="str">
        <f t="shared" si="5"/>
        <v>Distribution</v>
      </c>
      <c r="H102" s="1" t="s">
        <v>17</v>
      </c>
      <c r="I102" s="1" t="s">
        <v>13</v>
      </c>
      <c r="J102" s="7" t="s">
        <v>433</v>
      </c>
      <c r="K102" s="1">
        <v>3.25</v>
      </c>
      <c r="L102" s="1" t="s">
        <v>434</v>
      </c>
      <c r="M102" s="1" t="s">
        <v>435</v>
      </c>
      <c r="N102" s="1" t="s">
        <v>135</v>
      </c>
      <c r="O102" s="1" t="str">
        <f t="shared" si="7"/>
        <v>High</v>
      </c>
      <c r="P102" s="1" t="str">
        <f t="shared" si="6"/>
        <v>Permanent</v>
      </c>
    </row>
    <row r="103" spans="1:16" x14ac:dyDescent="0.3">
      <c r="A103" s="7" t="s">
        <v>436</v>
      </c>
      <c r="B103" s="1" t="s">
        <v>437</v>
      </c>
      <c r="C103" s="1" t="s">
        <v>438</v>
      </c>
      <c r="D103" s="1" t="s">
        <v>35</v>
      </c>
      <c r="E103" s="1" t="s">
        <v>439</v>
      </c>
      <c r="F103" s="1">
        <v>33</v>
      </c>
      <c r="G103" s="1" t="str">
        <f t="shared" si="5"/>
        <v>Distribution</v>
      </c>
      <c r="H103" s="1" t="s">
        <v>17</v>
      </c>
      <c r="I103" s="1" t="s">
        <v>13</v>
      </c>
      <c r="J103" s="1" t="s">
        <v>14</v>
      </c>
      <c r="K103" s="1">
        <v>0</v>
      </c>
      <c r="L103" s="1" t="s">
        <v>37</v>
      </c>
      <c r="M103" s="1" t="s">
        <v>440</v>
      </c>
      <c r="N103" s="1" t="s">
        <v>165</v>
      </c>
      <c r="O103" s="1" t="str">
        <f t="shared" si="7"/>
        <v>Low</v>
      </c>
      <c r="P103" s="1" t="str">
        <f t="shared" si="6"/>
        <v>Transient</v>
      </c>
    </row>
    <row r="104" spans="1:16" x14ac:dyDescent="0.3">
      <c r="A104" s="7" t="s">
        <v>441</v>
      </c>
      <c r="B104" s="1" t="s">
        <v>442</v>
      </c>
      <c r="C104" s="1" t="s">
        <v>443</v>
      </c>
      <c r="D104" s="1" t="s">
        <v>224</v>
      </c>
      <c r="E104" s="1" t="s">
        <v>444</v>
      </c>
      <c r="F104" s="1">
        <v>11</v>
      </c>
      <c r="G104" s="1" t="str">
        <f t="shared" si="5"/>
        <v>Distribution</v>
      </c>
      <c r="H104" s="1" t="s">
        <v>12</v>
      </c>
      <c r="I104" s="1" t="s">
        <v>13</v>
      </c>
      <c r="J104" s="5" t="s">
        <v>683</v>
      </c>
      <c r="K104" s="1">
        <v>1.43</v>
      </c>
      <c r="L104" s="1" t="s">
        <v>37</v>
      </c>
      <c r="M104" s="1" t="s">
        <v>445</v>
      </c>
      <c r="N104" s="1" t="s">
        <v>165</v>
      </c>
      <c r="O104" s="1" t="str">
        <f t="shared" si="7"/>
        <v>High</v>
      </c>
      <c r="P104" s="1" t="str">
        <f t="shared" si="6"/>
        <v>Permanent</v>
      </c>
    </row>
    <row r="105" spans="1:16" x14ac:dyDescent="0.3">
      <c r="A105" s="7" t="s">
        <v>441</v>
      </c>
      <c r="B105" s="1" t="s">
        <v>442</v>
      </c>
      <c r="C105" s="1" t="s">
        <v>443</v>
      </c>
      <c r="D105" s="1" t="s">
        <v>224</v>
      </c>
      <c r="E105" s="1" t="s">
        <v>446</v>
      </c>
      <c r="F105" s="1">
        <v>11</v>
      </c>
      <c r="G105" s="1" t="str">
        <f t="shared" si="5"/>
        <v>Distribution</v>
      </c>
      <c r="H105" s="1" t="s">
        <v>12</v>
      </c>
      <c r="I105" s="1" t="s">
        <v>13</v>
      </c>
      <c r="J105" s="5" t="s">
        <v>683</v>
      </c>
      <c r="K105" s="1">
        <v>1.43</v>
      </c>
      <c r="L105" s="1" t="s">
        <v>37</v>
      </c>
      <c r="M105" s="1" t="s">
        <v>142</v>
      </c>
      <c r="N105" s="1" t="s">
        <v>165</v>
      </c>
      <c r="O105" s="1" t="str">
        <f t="shared" si="7"/>
        <v>High</v>
      </c>
      <c r="P105" s="1" t="str">
        <f t="shared" si="6"/>
        <v>Permanent</v>
      </c>
    </row>
    <row r="106" spans="1:16" x14ac:dyDescent="0.3">
      <c r="A106" s="7" t="s">
        <v>447</v>
      </c>
      <c r="B106" s="1" t="s">
        <v>419</v>
      </c>
      <c r="C106" s="1" t="s">
        <v>443</v>
      </c>
      <c r="D106" s="1" t="s">
        <v>235</v>
      </c>
      <c r="E106" s="1" t="s">
        <v>421</v>
      </c>
      <c r="F106" s="1">
        <v>11</v>
      </c>
      <c r="G106" s="1" t="str">
        <f t="shared" si="5"/>
        <v>Distribution</v>
      </c>
      <c r="H106" s="1" t="s">
        <v>12</v>
      </c>
      <c r="I106" s="1" t="s">
        <v>13</v>
      </c>
      <c r="J106" s="7" t="s">
        <v>422</v>
      </c>
      <c r="K106" s="1">
        <v>0.77</v>
      </c>
      <c r="L106" s="1" t="s">
        <v>423</v>
      </c>
      <c r="M106" s="1" t="s">
        <v>424</v>
      </c>
      <c r="N106" s="1" t="s">
        <v>165</v>
      </c>
      <c r="O106" s="1" t="str">
        <f t="shared" si="7"/>
        <v>High</v>
      </c>
      <c r="P106" s="1" t="str">
        <f t="shared" si="6"/>
        <v>Permanent</v>
      </c>
    </row>
    <row r="107" spans="1:16" x14ac:dyDescent="0.3">
      <c r="A107" s="7" t="s">
        <v>447</v>
      </c>
      <c r="B107" s="1" t="s">
        <v>419</v>
      </c>
      <c r="C107" s="1" t="s">
        <v>443</v>
      </c>
      <c r="D107" s="1" t="s">
        <v>235</v>
      </c>
      <c r="E107" s="1" t="s">
        <v>425</v>
      </c>
      <c r="F107" s="1">
        <v>11</v>
      </c>
      <c r="G107" s="1" t="str">
        <f t="shared" si="5"/>
        <v>Distribution</v>
      </c>
      <c r="H107" s="1" t="s">
        <v>12</v>
      </c>
      <c r="I107" s="1" t="s">
        <v>13</v>
      </c>
      <c r="J107" s="7" t="s">
        <v>422</v>
      </c>
      <c r="K107" s="1">
        <v>0.77</v>
      </c>
      <c r="L107" s="1" t="s">
        <v>423</v>
      </c>
      <c r="M107" s="1" t="s">
        <v>426</v>
      </c>
      <c r="N107" s="1" t="s">
        <v>165</v>
      </c>
      <c r="O107" s="1" t="str">
        <f t="shared" si="7"/>
        <v>High</v>
      </c>
      <c r="P107" s="1" t="str">
        <f t="shared" si="6"/>
        <v>Permanent</v>
      </c>
    </row>
    <row r="108" spans="1:16" x14ac:dyDescent="0.3">
      <c r="A108" s="7" t="s">
        <v>448</v>
      </c>
      <c r="B108" s="1" t="s">
        <v>449</v>
      </c>
      <c r="C108" s="1" t="s">
        <v>450</v>
      </c>
      <c r="D108" s="1" t="s">
        <v>161</v>
      </c>
      <c r="E108" s="1" t="s">
        <v>452</v>
      </c>
      <c r="F108" s="1">
        <v>11</v>
      </c>
      <c r="G108" s="1" t="str">
        <f t="shared" si="5"/>
        <v>Distribution</v>
      </c>
      <c r="H108" s="1" t="s">
        <v>17</v>
      </c>
      <c r="I108" s="1" t="s">
        <v>13</v>
      </c>
      <c r="J108" s="7" t="s">
        <v>451</v>
      </c>
      <c r="K108" s="1">
        <v>1.45</v>
      </c>
      <c r="L108" s="1" t="s">
        <v>31</v>
      </c>
      <c r="M108" s="1" t="s">
        <v>142</v>
      </c>
      <c r="N108" s="1" t="s">
        <v>165</v>
      </c>
      <c r="O108" s="1" t="str">
        <f t="shared" si="7"/>
        <v>High</v>
      </c>
      <c r="P108" s="1" t="str">
        <f t="shared" si="6"/>
        <v>Permanent</v>
      </c>
    </row>
    <row r="109" spans="1:16" x14ac:dyDescent="0.3">
      <c r="A109" s="7" t="s">
        <v>448</v>
      </c>
      <c r="B109" s="1" t="s">
        <v>453</v>
      </c>
      <c r="C109" s="1" t="s">
        <v>450</v>
      </c>
      <c r="D109" s="1" t="s">
        <v>161</v>
      </c>
      <c r="E109" s="1" t="s">
        <v>454</v>
      </c>
      <c r="F109" s="1">
        <v>11</v>
      </c>
      <c r="G109" s="1" t="str">
        <f t="shared" si="5"/>
        <v>Distribution</v>
      </c>
      <c r="H109" s="1" t="s">
        <v>17</v>
      </c>
      <c r="I109" s="1" t="s">
        <v>13</v>
      </c>
      <c r="J109" s="7" t="s">
        <v>455</v>
      </c>
      <c r="K109" s="1">
        <v>1.23</v>
      </c>
      <c r="L109" s="1" t="s">
        <v>31</v>
      </c>
      <c r="M109" s="1" t="s">
        <v>456</v>
      </c>
      <c r="N109" s="1" t="s">
        <v>165</v>
      </c>
      <c r="O109" s="1" t="str">
        <f t="shared" ref="O109:O135" si="8">IF(K109&lt;=0.083,"Low",IF(K109&lt;=0.5,"Medium",IF(K109&gt;0.5,"High")))</f>
        <v>High</v>
      </c>
      <c r="P109" s="1" t="str">
        <f t="shared" si="6"/>
        <v>Permanent</v>
      </c>
    </row>
    <row r="110" spans="1:16" x14ac:dyDescent="0.3">
      <c r="A110" s="7" t="s">
        <v>448</v>
      </c>
      <c r="B110" s="1" t="s">
        <v>453</v>
      </c>
      <c r="C110" s="1" t="s">
        <v>450</v>
      </c>
      <c r="D110" s="1" t="s">
        <v>161</v>
      </c>
      <c r="E110" s="1" t="s">
        <v>457</v>
      </c>
      <c r="F110" s="1">
        <v>11</v>
      </c>
      <c r="G110" s="1" t="str">
        <f t="shared" si="5"/>
        <v>Distribution</v>
      </c>
      <c r="H110" s="1" t="s">
        <v>17</v>
      </c>
      <c r="I110" s="1" t="s">
        <v>13</v>
      </c>
      <c r="J110" s="7" t="s">
        <v>458</v>
      </c>
      <c r="K110" s="1">
        <v>1.33</v>
      </c>
      <c r="L110" s="1" t="s">
        <v>31</v>
      </c>
      <c r="M110" s="1" t="s">
        <v>142</v>
      </c>
      <c r="N110" s="1" t="s">
        <v>165</v>
      </c>
      <c r="O110" s="1" t="str">
        <f t="shared" si="8"/>
        <v>High</v>
      </c>
      <c r="P110" s="1" t="str">
        <f t="shared" si="6"/>
        <v>Permanent</v>
      </c>
    </row>
    <row r="111" spans="1:16" x14ac:dyDescent="0.3">
      <c r="A111" s="7" t="s">
        <v>459</v>
      </c>
      <c r="B111" s="1" t="s">
        <v>460</v>
      </c>
      <c r="C111" s="1" t="s">
        <v>461</v>
      </c>
      <c r="D111" s="1" t="s">
        <v>52</v>
      </c>
      <c r="E111" s="1" t="s">
        <v>462</v>
      </c>
      <c r="F111" s="1">
        <v>11</v>
      </c>
      <c r="G111" s="1" t="str">
        <f t="shared" si="5"/>
        <v>Distribution</v>
      </c>
      <c r="H111" s="1" t="s">
        <v>17</v>
      </c>
      <c r="I111" s="1" t="s">
        <v>13</v>
      </c>
      <c r="J111" s="7" t="s">
        <v>463</v>
      </c>
      <c r="K111" s="1">
        <v>1.45</v>
      </c>
      <c r="L111" s="1" t="s">
        <v>464</v>
      </c>
      <c r="M111" s="1" t="s">
        <v>465</v>
      </c>
      <c r="N111" s="1" t="s">
        <v>165</v>
      </c>
      <c r="O111" s="1" t="str">
        <f t="shared" si="8"/>
        <v>High</v>
      </c>
      <c r="P111" s="1" t="str">
        <f t="shared" si="6"/>
        <v>Permanent</v>
      </c>
    </row>
    <row r="112" spans="1:16" x14ac:dyDescent="0.3">
      <c r="A112" s="7" t="s">
        <v>459</v>
      </c>
      <c r="B112" s="1" t="s">
        <v>460</v>
      </c>
      <c r="C112" s="1" t="s">
        <v>461</v>
      </c>
      <c r="D112" s="1" t="s">
        <v>52</v>
      </c>
      <c r="E112" s="1" t="s">
        <v>466</v>
      </c>
      <c r="F112" s="1">
        <v>11</v>
      </c>
      <c r="G112" s="1" t="str">
        <f t="shared" si="5"/>
        <v>Distribution</v>
      </c>
      <c r="H112" s="1" t="s">
        <v>17</v>
      </c>
      <c r="I112" s="1" t="s">
        <v>13</v>
      </c>
      <c r="J112" s="7" t="s">
        <v>463</v>
      </c>
      <c r="K112" s="1">
        <v>1.45</v>
      </c>
      <c r="L112" s="1" t="s">
        <v>464</v>
      </c>
      <c r="M112" s="1" t="s">
        <v>467</v>
      </c>
      <c r="N112" s="1" t="s">
        <v>165</v>
      </c>
      <c r="O112" s="1" t="str">
        <f t="shared" si="8"/>
        <v>High</v>
      </c>
      <c r="P112" s="1" t="str">
        <f t="shared" si="6"/>
        <v>Permanent</v>
      </c>
    </row>
    <row r="113" spans="1:17" x14ac:dyDescent="0.3">
      <c r="A113" s="7" t="s">
        <v>459</v>
      </c>
      <c r="B113" s="1" t="s">
        <v>460</v>
      </c>
      <c r="C113" s="1" t="s">
        <v>461</v>
      </c>
      <c r="D113" s="1" t="s">
        <v>52</v>
      </c>
      <c r="E113" s="1" t="s">
        <v>468</v>
      </c>
      <c r="F113" s="1">
        <v>11</v>
      </c>
      <c r="G113" s="1" t="str">
        <f t="shared" si="5"/>
        <v>Distribution</v>
      </c>
      <c r="H113" s="1" t="s">
        <v>17</v>
      </c>
      <c r="I113" s="1" t="s">
        <v>13</v>
      </c>
      <c r="J113" s="7" t="s">
        <v>463</v>
      </c>
      <c r="K113" s="1">
        <v>1.45</v>
      </c>
      <c r="L113" s="1" t="s">
        <v>464</v>
      </c>
      <c r="M113" s="1" t="s">
        <v>469</v>
      </c>
      <c r="N113" s="1" t="s">
        <v>165</v>
      </c>
      <c r="O113" s="1" t="str">
        <f t="shared" si="8"/>
        <v>High</v>
      </c>
      <c r="P113" s="1" t="str">
        <f t="shared" si="6"/>
        <v>Permanent</v>
      </c>
    </row>
    <row r="114" spans="1:17" x14ac:dyDescent="0.3">
      <c r="A114" s="7" t="s">
        <v>470</v>
      </c>
      <c r="B114" s="1" t="s">
        <v>345</v>
      </c>
      <c r="C114" s="1" t="s">
        <v>471</v>
      </c>
      <c r="D114" s="1" t="s">
        <v>472</v>
      </c>
      <c r="E114" s="1" t="s">
        <v>473</v>
      </c>
      <c r="F114" s="1">
        <v>11</v>
      </c>
      <c r="G114" s="1" t="str">
        <f t="shared" si="5"/>
        <v>Distribution</v>
      </c>
      <c r="H114" s="1" t="s">
        <v>17</v>
      </c>
      <c r="I114" s="1" t="s">
        <v>13</v>
      </c>
      <c r="J114" s="7" t="s">
        <v>474</v>
      </c>
      <c r="K114" s="1">
        <v>0.57999999999999996</v>
      </c>
      <c r="L114" s="1" t="s">
        <v>298</v>
      </c>
      <c r="M114" s="1" t="s">
        <v>475</v>
      </c>
      <c r="N114" s="1" t="s">
        <v>181</v>
      </c>
      <c r="O114" s="1" t="str">
        <f t="shared" si="8"/>
        <v>High</v>
      </c>
      <c r="P114" s="1" t="str">
        <f t="shared" si="6"/>
        <v>Permanent</v>
      </c>
    </row>
    <row r="115" spans="1:17" x14ac:dyDescent="0.3">
      <c r="A115" s="7" t="s">
        <v>476</v>
      </c>
      <c r="B115" s="1" t="s">
        <v>477</v>
      </c>
      <c r="C115" s="1" t="s">
        <v>478</v>
      </c>
      <c r="D115" s="1" t="s">
        <v>70</v>
      </c>
      <c r="E115" s="1" t="s">
        <v>479</v>
      </c>
      <c r="F115" s="1">
        <v>11</v>
      </c>
      <c r="G115" s="1" t="str">
        <f t="shared" si="5"/>
        <v>Distribution</v>
      </c>
      <c r="H115" s="1" t="s">
        <v>12</v>
      </c>
      <c r="I115" s="1" t="s">
        <v>36</v>
      </c>
      <c r="J115" s="7" t="s">
        <v>480</v>
      </c>
      <c r="K115" s="1">
        <v>3.15</v>
      </c>
      <c r="L115" s="1" t="s">
        <v>201</v>
      </c>
      <c r="M115" s="1" t="s">
        <v>481</v>
      </c>
      <c r="N115" s="1" t="s">
        <v>181</v>
      </c>
      <c r="O115" s="1" t="str">
        <f t="shared" si="8"/>
        <v>High</v>
      </c>
      <c r="P115" s="1" t="str">
        <f t="shared" si="6"/>
        <v>Permanent</v>
      </c>
    </row>
    <row r="116" spans="1:17" x14ac:dyDescent="0.3">
      <c r="A116" s="12" t="s">
        <v>476</v>
      </c>
      <c r="B116" s="8" t="s">
        <v>477</v>
      </c>
      <c r="C116" s="8" t="s">
        <v>478</v>
      </c>
      <c r="D116" s="8" t="s">
        <v>70</v>
      </c>
      <c r="E116" s="8" t="s">
        <v>482</v>
      </c>
      <c r="F116" s="8">
        <v>11</v>
      </c>
      <c r="G116" s="1" t="str">
        <f t="shared" ref="G116:G174" si="9">IF(F116&gt;=132,"Transmission",IF(F116&gt;=66,"Sub-Transmission","Distribution"))</f>
        <v>Distribution</v>
      </c>
      <c r="H116" s="8" t="s">
        <v>12</v>
      </c>
      <c r="I116" s="8" t="s">
        <v>36</v>
      </c>
      <c r="J116" s="13" t="s">
        <v>684</v>
      </c>
      <c r="K116" s="8">
        <v>3.15</v>
      </c>
      <c r="L116" s="8" t="s">
        <v>201</v>
      </c>
      <c r="M116" s="8" t="s">
        <v>142</v>
      </c>
      <c r="N116" s="8" t="s">
        <v>181</v>
      </c>
      <c r="O116" s="1" t="str">
        <f t="shared" si="8"/>
        <v>High</v>
      </c>
      <c r="P116" s="1" t="str">
        <f t="shared" ref="P116:P174" si="10">IF(O116="Low","Transient",IF(O116="Medium","Sustained",IF(O116="High","Permanent")))</f>
        <v>Permanent</v>
      </c>
    </row>
    <row r="117" spans="1:17" s="1" customFormat="1" x14ac:dyDescent="0.3">
      <c r="A117" s="7" t="s">
        <v>483</v>
      </c>
      <c r="B117" s="1" t="s">
        <v>484</v>
      </c>
      <c r="C117" s="1" t="s">
        <v>485</v>
      </c>
      <c r="D117" s="1" t="s">
        <v>297</v>
      </c>
      <c r="E117" s="1" t="s">
        <v>486</v>
      </c>
      <c r="F117" s="1">
        <v>11</v>
      </c>
      <c r="G117" s="1" t="str">
        <f t="shared" si="9"/>
        <v>Distribution</v>
      </c>
      <c r="H117" s="1" t="s">
        <v>17</v>
      </c>
      <c r="I117" s="1" t="s">
        <v>13</v>
      </c>
      <c r="J117" s="7" t="s">
        <v>487</v>
      </c>
      <c r="K117" s="1">
        <v>1.43</v>
      </c>
      <c r="L117" s="1" t="s">
        <v>15</v>
      </c>
      <c r="M117" s="1" t="s">
        <v>488</v>
      </c>
      <c r="N117" s="1" t="s">
        <v>181</v>
      </c>
      <c r="O117" s="1" t="str">
        <f t="shared" si="8"/>
        <v>High</v>
      </c>
      <c r="P117" s="1" t="str">
        <f t="shared" si="10"/>
        <v>Permanent</v>
      </c>
    </row>
    <row r="118" spans="1:17" s="1" customFormat="1" x14ac:dyDescent="0.3">
      <c r="A118" s="7" t="s">
        <v>489</v>
      </c>
      <c r="B118" s="1" t="s">
        <v>419</v>
      </c>
      <c r="C118" s="1" t="s">
        <v>490</v>
      </c>
      <c r="D118" s="1" t="s">
        <v>235</v>
      </c>
      <c r="E118" s="1" t="s">
        <v>421</v>
      </c>
      <c r="F118" s="1">
        <v>11</v>
      </c>
      <c r="G118" s="1" t="str">
        <f t="shared" si="9"/>
        <v>Distribution</v>
      </c>
      <c r="H118" s="1" t="s">
        <v>12</v>
      </c>
      <c r="I118" s="1" t="s">
        <v>13</v>
      </c>
      <c r="J118" s="7" t="s">
        <v>422</v>
      </c>
      <c r="K118" s="1">
        <v>0.77</v>
      </c>
      <c r="L118" s="1" t="s">
        <v>423</v>
      </c>
      <c r="M118" s="1" t="s">
        <v>424</v>
      </c>
      <c r="N118" s="1" t="s">
        <v>181</v>
      </c>
      <c r="O118" s="1" t="str">
        <f t="shared" si="8"/>
        <v>High</v>
      </c>
      <c r="P118" s="1" t="str">
        <f t="shared" si="10"/>
        <v>Permanent</v>
      </c>
    </row>
    <row r="119" spans="1:17" s="1" customFormat="1" x14ac:dyDescent="0.3">
      <c r="A119" s="7" t="s">
        <v>489</v>
      </c>
      <c r="B119" s="1" t="s">
        <v>419</v>
      </c>
      <c r="C119" s="1" t="s">
        <v>490</v>
      </c>
      <c r="D119" s="1" t="s">
        <v>235</v>
      </c>
      <c r="E119" s="1" t="s">
        <v>425</v>
      </c>
      <c r="F119" s="1">
        <v>11</v>
      </c>
      <c r="G119" s="1" t="str">
        <f t="shared" si="9"/>
        <v>Distribution</v>
      </c>
      <c r="H119" s="1" t="s">
        <v>12</v>
      </c>
      <c r="I119" s="1" t="s">
        <v>13</v>
      </c>
      <c r="J119" s="7" t="s">
        <v>422</v>
      </c>
      <c r="K119" s="1">
        <v>0.77</v>
      </c>
      <c r="L119" s="1" t="s">
        <v>423</v>
      </c>
      <c r="M119" s="1" t="s">
        <v>426</v>
      </c>
      <c r="N119" s="1" t="s">
        <v>181</v>
      </c>
      <c r="O119" s="1" t="str">
        <f t="shared" si="8"/>
        <v>High</v>
      </c>
      <c r="P119" s="1" t="str">
        <f t="shared" si="10"/>
        <v>Permanent</v>
      </c>
    </row>
    <row r="120" spans="1:17" s="1" customFormat="1" x14ac:dyDescent="0.3">
      <c r="A120" s="7" t="s">
        <v>491</v>
      </c>
      <c r="B120" s="1" t="s">
        <v>492</v>
      </c>
      <c r="C120" s="1" t="s">
        <v>493</v>
      </c>
      <c r="D120" s="1" t="s">
        <v>70</v>
      </c>
      <c r="E120" s="1" t="s">
        <v>479</v>
      </c>
      <c r="F120" s="1">
        <v>11</v>
      </c>
      <c r="G120" s="1" t="str">
        <f t="shared" si="9"/>
        <v>Distribution</v>
      </c>
      <c r="H120" s="1" t="s">
        <v>12</v>
      </c>
      <c r="I120" s="1" t="s">
        <v>13</v>
      </c>
      <c r="J120" s="14" t="s">
        <v>507</v>
      </c>
      <c r="K120" s="1">
        <v>1.1299999999999999</v>
      </c>
      <c r="L120" s="1" t="s">
        <v>380</v>
      </c>
      <c r="M120" s="1" t="s">
        <v>494</v>
      </c>
      <c r="N120" s="1" t="s">
        <v>181</v>
      </c>
      <c r="O120" s="1" t="str">
        <f t="shared" si="8"/>
        <v>High</v>
      </c>
      <c r="P120" s="1" t="str">
        <f t="shared" si="10"/>
        <v>Permanent</v>
      </c>
    </row>
    <row r="121" spans="1:17" x14ac:dyDescent="0.3">
      <c r="A121" s="7" t="s">
        <v>491</v>
      </c>
      <c r="B121" s="1" t="s">
        <v>492</v>
      </c>
      <c r="C121" s="1" t="s">
        <v>493</v>
      </c>
      <c r="D121" s="1" t="s">
        <v>70</v>
      </c>
      <c r="E121" s="1" t="s">
        <v>482</v>
      </c>
      <c r="F121" s="1">
        <v>11</v>
      </c>
      <c r="G121" s="1" t="str">
        <f t="shared" si="9"/>
        <v>Distribution</v>
      </c>
      <c r="H121" s="1" t="s">
        <v>12</v>
      </c>
      <c r="I121" s="1" t="s">
        <v>13</v>
      </c>
      <c r="J121" s="14" t="s">
        <v>507</v>
      </c>
      <c r="K121" s="1">
        <v>1.1299999999999999</v>
      </c>
      <c r="L121" s="1" t="s">
        <v>380</v>
      </c>
      <c r="M121" s="1" t="s">
        <v>142</v>
      </c>
      <c r="N121" s="1" t="s">
        <v>181</v>
      </c>
      <c r="O121" s="1" t="str">
        <f t="shared" si="8"/>
        <v>High</v>
      </c>
      <c r="P121" s="1" t="str">
        <f t="shared" si="10"/>
        <v>Permanent</v>
      </c>
      <c r="Q121" s="1"/>
    </row>
    <row r="122" spans="1:17" x14ac:dyDescent="0.3">
      <c r="A122" s="7" t="s">
        <v>491</v>
      </c>
      <c r="B122" s="1" t="s">
        <v>492</v>
      </c>
      <c r="C122" s="1" t="s">
        <v>493</v>
      </c>
      <c r="D122" s="1" t="s">
        <v>70</v>
      </c>
      <c r="E122" s="1" t="s">
        <v>495</v>
      </c>
      <c r="F122" s="1">
        <v>11</v>
      </c>
      <c r="G122" s="1" t="str">
        <f t="shared" si="9"/>
        <v>Distribution</v>
      </c>
      <c r="H122" s="1" t="s">
        <v>12</v>
      </c>
      <c r="I122" s="1" t="s">
        <v>13</v>
      </c>
      <c r="J122" s="10">
        <v>0.46527777777777773</v>
      </c>
      <c r="K122" s="1">
        <v>1.1299999999999999</v>
      </c>
      <c r="L122" s="1" t="s">
        <v>380</v>
      </c>
      <c r="M122" s="1" t="s">
        <v>496</v>
      </c>
      <c r="N122" s="1" t="s">
        <v>181</v>
      </c>
      <c r="O122" s="1" t="str">
        <f t="shared" si="8"/>
        <v>High</v>
      </c>
      <c r="P122" s="1" t="str">
        <f t="shared" si="10"/>
        <v>Permanent</v>
      </c>
      <c r="Q122" s="1"/>
    </row>
    <row r="123" spans="1:17" x14ac:dyDescent="0.3">
      <c r="A123" s="7" t="s">
        <v>497</v>
      </c>
      <c r="B123" s="1" t="s">
        <v>498</v>
      </c>
      <c r="C123" s="1" t="s">
        <v>499</v>
      </c>
      <c r="D123" s="1" t="s">
        <v>70</v>
      </c>
      <c r="E123" s="1" t="s">
        <v>479</v>
      </c>
      <c r="F123" s="1">
        <v>11</v>
      </c>
      <c r="G123" s="1" t="str">
        <f t="shared" si="9"/>
        <v>Distribution</v>
      </c>
      <c r="H123" s="1" t="s">
        <v>12</v>
      </c>
      <c r="I123" s="1" t="s">
        <v>13</v>
      </c>
      <c r="J123" s="7" t="s">
        <v>220</v>
      </c>
      <c r="K123" s="1">
        <v>1.92</v>
      </c>
      <c r="L123" s="1" t="s">
        <v>201</v>
      </c>
      <c r="M123" s="1" t="s">
        <v>500</v>
      </c>
      <c r="N123" s="1" t="s">
        <v>184</v>
      </c>
      <c r="O123" s="1" t="str">
        <f t="shared" si="8"/>
        <v>High</v>
      </c>
      <c r="P123" s="1" t="str">
        <f t="shared" si="10"/>
        <v>Permanent</v>
      </c>
      <c r="Q123" s="1"/>
    </row>
    <row r="124" spans="1:17" x14ac:dyDescent="0.3">
      <c r="A124" s="7" t="s">
        <v>497</v>
      </c>
      <c r="B124" s="1" t="s">
        <v>498</v>
      </c>
      <c r="C124" s="1" t="s">
        <v>499</v>
      </c>
      <c r="D124" s="1" t="s">
        <v>70</v>
      </c>
      <c r="E124" s="1" t="s">
        <v>482</v>
      </c>
      <c r="F124" s="1">
        <v>11</v>
      </c>
      <c r="G124" s="1" t="str">
        <f t="shared" si="9"/>
        <v>Distribution</v>
      </c>
      <c r="H124" s="1" t="s">
        <v>12</v>
      </c>
      <c r="I124" s="1" t="s">
        <v>13</v>
      </c>
      <c r="J124" s="7" t="s">
        <v>220</v>
      </c>
      <c r="K124" s="1">
        <v>1.92</v>
      </c>
      <c r="L124" s="1" t="s">
        <v>201</v>
      </c>
      <c r="M124" s="1" t="s">
        <v>142</v>
      </c>
      <c r="N124" s="1" t="s">
        <v>184</v>
      </c>
      <c r="O124" s="1" t="str">
        <f t="shared" si="8"/>
        <v>High</v>
      </c>
      <c r="P124" s="1" t="str">
        <f t="shared" si="10"/>
        <v>Permanent</v>
      </c>
      <c r="Q124" s="1"/>
    </row>
    <row r="125" spans="1:17" x14ac:dyDescent="0.3">
      <c r="A125" s="7" t="s">
        <v>501</v>
      </c>
      <c r="B125" s="1" t="s">
        <v>502</v>
      </c>
      <c r="C125" s="1" t="s">
        <v>503</v>
      </c>
      <c r="D125" s="1" t="s">
        <v>70</v>
      </c>
      <c r="E125" s="1" t="s">
        <v>482</v>
      </c>
      <c r="F125" s="1">
        <v>11</v>
      </c>
      <c r="G125" s="1" t="str">
        <f t="shared" si="9"/>
        <v>Distribution</v>
      </c>
      <c r="H125" s="1" t="s">
        <v>12</v>
      </c>
      <c r="I125" s="1" t="s">
        <v>13</v>
      </c>
      <c r="J125" s="7" t="s">
        <v>504</v>
      </c>
      <c r="K125" s="1">
        <v>11.78</v>
      </c>
      <c r="L125" s="1" t="s">
        <v>201</v>
      </c>
      <c r="M125" s="1" t="s">
        <v>142</v>
      </c>
      <c r="N125" s="1" t="s">
        <v>189</v>
      </c>
      <c r="O125" s="1" t="str">
        <f t="shared" si="8"/>
        <v>High</v>
      </c>
      <c r="P125" s="1" t="str">
        <f t="shared" si="10"/>
        <v>Permanent</v>
      </c>
      <c r="Q125" s="1"/>
    </row>
    <row r="126" spans="1:17" x14ac:dyDescent="0.3">
      <c r="A126" s="7" t="s">
        <v>506</v>
      </c>
      <c r="B126" s="1" t="s">
        <v>419</v>
      </c>
      <c r="C126" s="1" t="s">
        <v>505</v>
      </c>
      <c r="D126" s="1" t="s">
        <v>19</v>
      </c>
      <c r="E126" s="1" t="s">
        <v>508</v>
      </c>
      <c r="F126" s="1">
        <v>6.6</v>
      </c>
      <c r="G126" s="1" t="str">
        <f t="shared" si="9"/>
        <v>Distribution</v>
      </c>
      <c r="H126" s="1" t="s">
        <v>12</v>
      </c>
      <c r="I126" s="1" t="s">
        <v>13</v>
      </c>
      <c r="J126" s="7" t="s">
        <v>507</v>
      </c>
      <c r="K126" s="1">
        <v>1.05</v>
      </c>
      <c r="L126" s="1" t="s">
        <v>20</v>
      </c>
      <c r="M126" s="1" t="s">
        <v>142</v>
      </c>
      <c r="N126" s="1" t="s">
        <v>189</v>
      </c>
      <c r="O126" s="1" t="str">
        <f t="shared" si="8"/>
        <v>High</v>
      </c>
      <c r="P126" s="1" t="str">
        <f t="shared" si="10"/>
        <v>Permanent</v>
      </c>
      <c r="Q126" s="1"/>
    </row>
    <row r="127" spans="1:17" x14ac:dyDescent="0.3">
      <c r="A127" s="7" t="s">
        <v>510</v>
      </c>
      <c r="B127" s="1" t="s">
        <v>511</v>
      </c>
      <c r="C127" s="1" t="s">
        <v>512</v>
      </c>
      <c r="D127" s="1" t="s">
        <v>513</v>
      </c>
      <c r="E127" s="1" t="s">
        <v>514</v>
      </c>
      <c r="F127" s="1">
        <v>11</v>
      </c>
      <c r="G127" s="1" t="str">
        <f t="shared" si="9"/>
        <v>Distribution</v>
      </c>
      <c r="H127" s="1" t="s">
        <v>43</v>
      </c>
      <c r="I127" s="1" t="s">
        <v>13</v>
      </c>
      <c r="J127" s="7" t="s">
        <v>515</v>
      </c>
      <c r="K127" s="1">
        <v>4.93</v>
      </c>
      <c r="L127" s="1" t="s">
        <v>29</v>
      </c>
      <c r="M127" s="1" t="s">
        <v>142</v>
      </c>
      <c r="N127" s="1" t="s">
        <v>189</v>
      </c>
      <c r="O127" s="1" t="str">
        <f t="shared" si="8"/>
        <v>High</v>
      </c>
      <c r="P127" s="1" t="str">
        <f t="shared" si="10"/>
        <v>Permanent</v>
      </c>
      <c r="Q127" s="1"/>
    </row>
    <row r="128" spans="1:17" x14ac:dyDescent="0.3">
      <c r="A128" s="7" t="s">
        <v>510</v>
      </c>
      <c r="B128" s="1" t="s">
        <v>511</v>
      </c>
      <c r="C128" s="1" t="s">
        <v>512</v>
      </c>
      <c r="D128" s="1" t="s">
        <v>513</v>
      </c>
      <c r="E128" s="1" t="s">
        <v>516</v>
      </c>
      <c r="F128" s="1">
        <v>11</v>
      </c>
      <c r="G128" s="1" t="str">
        <f t="shared" si="9"/>
        <v>Distribution</v>
      </c>
      <c r="H128" s="1" t="s">
        <v>43</v>
      </c>
      <c r="I128" s="1" t="s">
        <v>13</v>
      </c>
      <c r="J128" s="7" t="s">
        <v>515</v>
      </c>
      <c r="K128" s="1">
        <v>4.93</v>
      </c>
      <c r="L128" s="1" t="s">
        <v>29</v>
      </c>
      <c r="M128" s="1" t="s">
        <v>142</v>
      </c>
      <c r="N128" s="1" t="s">
        <v>189</v>
      </c>
      <c r="O128" s="1" t="str">
        <f t="shared" si="8"/>
        <v>High</v>
      </c>
      <c r="P128" s="1" t="str">
        <f t="shared" si="10"/>
        <v>Permanent</v>
      </c>
      <c r="Q128" s="1"/>
    </row>
    <row r="129" spans="1:17" x14ac:dyDescent="0.3">
      <c r="A129" s="7" t="s">
        <v>517</v>
      </c>
      <c r="B129" s="1" t="s">
        <v>88</v>
      </c>
      <c r="C129" s="1" t="s">
        <v>518</v>
      </c>
      <c r="D129" s="1" t="s">
        <v>23</v>
      </c>
      <c r="E129" s="1" t="s">
        <v>509</v>
      </c>
      <c r="F129" s="1">
        <v>33</v>
      </c>
      <c r="G129" s="1" t="str">
        <f t="shared" si="9"/>
        <v>Distribution</v>
      </c>
      <c r="H129" s="1" t="s">
        <v>30</v>
      </c>
      <c r="I129" s="1" t="s">
        <v>13</v>
      </c>
      <c r="J129" s="10">
        <v>0.47152777777777777</v>
      </c>
      <c r="K129" s="1">
        <v>50.38</v>
      </c>
      <c r="L129" s="1" t="s">
        <v>277</v>
      </c>
      <c r="M129" s="1" t="s">
        <v>519</v>
      </c>
      <c r="N129" s="1" t="s">
        <v>189</v>
      </c>
      <c r="O129" s="1" t="str">
        <f t="shared" si="8"/>
        <v>High</v>
      </c>
      <c r="P129" s="1" t="str">
        <f t="shared" si="10"/>
        <v>Permanent</v>
      </c>
      <c r="Q129" s="1"/>
    </row>
    <row r="130" spans="1:17" x14ac:dyDescent="0.3">
      <c r="A130" s="7" t="s">
        <v>520</v>
      </c>
      <c r="B130" s="1" t="s">
        <v>521</v>
      </c>
      <c r="C130" s="1" t="s">
        <v>522</v>
      </c>
      <c r="D130" s="1" t="s">
        <v>523</v>
      </c>
      <c r="E130" s="1" t="s">
        <v>524</v>
      </c>
      <c r="F130" s="1">
        <v>11</v>
      </c>
      <c r="G130" s="1" t="str">
        <f t="shared" si="9"/>
        <v>Distribution</v>
      </c>
      <c r="H130" s="1" t="s">
        <v>12</v>
      </c>
      <c r="I130" s="1" t="s">
        <v>36</v>
      </c>
      <c r="J130" s="7" t="s">
        <v>525</v>
      </c>
      <c r="K130" s="1">
        <v>2.78</v>
      </c>
      <c r="L130" s="1" t="s">
        <v>526</v>
      </c>
      <c r="M130" s="1" t="s">
        <v>527</v>
      </c>
      <c r="N130" s="1" t="s">
        <v>189</v>
      </c>
      <c r="O130" s="1" t="str">
        <f t="shared" si="8"/>
        <v>High</v>
      </c>
      <c r="P130" s="1" t="str">
        <f t="shared" si="10"/>
        <v>Permanent</v>
      </c>
      <c r="Q130" s="1"/>
    </row>
    <row r="131" spans="1:17" x14ac:dyDescent="0.3">
      <c r="A131" s="7" t="s">
        <v>528</v>
      </c>
      <c r="B131" s="1" t="s">
        <v>250</v>
      </c>
      <c r="C131" s="1" t="s">
        <v>529</v>
      </c>
      <c r="D131" s="1" t="s">
        <v>19</v>
      </c>
      <c r="E131" s="1" t="s">
        <v>531</v>
      </c>
      <c r="F131" s="1">
        <v>33</v>
      </c>
      <c r="G131" s="1" t="str">
        <f t="shared" si="9"/>
        <v>Distribution</v>
      </c>
      <c r="H131" s="1" t="s">
        <v>12</v>
      </c>
      <c r="I131" s="1" t="s">
        <v>13</v>
      </c>
      <c r="J131" s="7" t="s">
        <v>530</v>
      </c>
      <c r="K131" s="1">
        <v>0.93</v>
      </c>
      <c r="L131" s="1" t="s">
        <v>15</v>
      </c>
      <c r="M131" s="1" t="s">
        <v>142</v>
      </c>
      <c r="N131" s="1" t="s">
        <v>218</v>
      </c>
      <c r="O131" s="1" t="str">
        <f t="shared" si="8"/>
        <v>High</v>
      </c>
      <c r="P131" s="1" t="str">
        <f t="shared" si="10"/>
        <v>Permanent</v>
      </c>
      <c r="Q131" s="1"/>
    </row>
    <row r="132" spans="1:17" x14ac:dyDescent="0.3">
      <c r="A132" s="7" t="s">
        <v>532</v>
      </c>
      <c r="B132" s="1" t="s">
        <v>533</v>
      </c>
      <c r="C132" s="1" t="s">
        <v>529</v>
      </c>
      <c r="D132" s="1" t="s">
        <v>412</v>
      </c>
      <c r="E132" s="1" t="s">
        <v>534</v>
      </c>
      <c r="F132" s="1">
        <v>11</v>
      </c>
      <c r="G132" s="1" t="str">
        <f t="shared" si="9"/>
        <v>Distribution</v>
      </c>
      <c r="H132" s="1" t="s">
        <v>17</v>
      </c>
      <c r="I132" s="1" t="s">
        <v>13</v>
      </c>
      <c r="J132" s="7" t="s">
        <v>535</v>
      </c>
      <c r="K132" s="1">
        <v>1.57</v>
      </c>
      <c r="L132" s="1" t="s">
        <v>171</v>
      </c>
      <c r="M132" s="1" t="s">
        <v>536</v>
      </c>
      <c r="N132" s="1" t="s">
        <v>218</v>
      </c>
      <c r="O132" s="1" t="str">
        <f t="shared" si="8"/>
        <v>High</v>
      </c>
      <c r="P132" s="1" t="str">
        <f t="shared" si="10"/>
        <v>Permanent</v>
      </c>
      <c r="Q132" s="1"/>
    </row>
    <row r="133" spans="1:17" x14ac:dyDescent="0.3">
      <c r="A133" s="7" t="s">
        <v>537</v>
      </c>
      <c r="B133" s="1" t="s">
        <v>538</v>
      </c>
      <c r="C133" s="1" t="s">
        <v>539</v>
      </c>
      <c r="D133" s="1" t="s">
        <v>540</v>
      </c>
      <c r="E133" s="1" t="s">
        <v>541</v>
      </c>
      <c r="F133" s="1">
        <v>11</v>
      </c>
      <c r="G133" s="1" t="str">
        <f t="shared" si="9"/>
        <v>Distribution</v>
      </c>
      <c r="H133" s="1" t="s">
        <v>12</v>
      </c>
      <c r="I133" s="1" t="s">
        <v>13</v>
      </c>
      <c r="J133" s="7" t="s">
        <v>542</v>
      </c>
      <c r="K133" s="1">
        <v>1.35</v>
      </c>
      <c r="L133" s="1" t="s">
        <v>201</v>
      </c>
      <c r="M133" s="1" t="s">
        <v>543</v>
      </c>
      <c r="N133" s="1" t="s">
        <v>218</v>
      </c>
      <c r="O133" s="1" t="str">
        <f t="shared" si="8"/>
        <v>High</v>
      </c>
      <c r="P133" s="1" t="str">
        <f t="shared" si="10"/>
        <v>Permanent</v>
      </c>
      <c r="Q133" s="1"/>
    </row>
    <row r="134" spans="1:17" x14ac:dyDescent="0.3">
      <c r="A134" s="7" t="s">
        <v>537</v>
      </c>
      <c r="B134" s="1" t="s">
        <v>538</v>
      </c>
      <c r="C134" s="1" t="s">
        <v>539</v>
      </c>
      <c r="D134" s="1" t="s">
        <v>540</v>
      </c>
      <c r="E134" s="1" t="s">
        <v>544</v>
      </c>
      <c r="F134" s="1">
        <v>11</v>
      </c>
      <c r="G134" s="1" t="str">
        <f t="shared" si="9"/>
        <v>Distribution</v>
      </c>
      <c r="H134" s="1" t="s">
        <v>12</v>
      </c>
      <c r="I134" s="1" t="s">
        <v>13</v>
      </c>
      <c r="J134" s="7" t="s">
        <v>542</v>
      </c>
      <c r="K134" s="1">
        <v>1.35</v>
      </c>
      <c r="L134" s="1" t="s">
        <v>201</v>
      </c>
      <c r="M134" s="1" t="s">
        <v>142</v>
      </c>
      <c r="N134" s="1" t="s">
        <v>218</v>
      </c>
      <c r="O134" s="1" t="str">
        <f t="shared" si="8"/>
        <v>High</v>
      </c>
      <c r="P134" s="1" t="str">
        <f t="shared" si="10"/>
        <v>Permanent</v>
      </c>
      <c r="Q134" s="1"/>
    </row>
    <row r="135" spans="1:17" x14ac:dyDescent="0.3">
      <c r="A135" s="7" t="s">
        <v>537</v>
      </c>
      <c r="B135" s="1" t="s">
        <v>538</v>
      </c>
      <c r="C135" s="1" t="s">
        <v>539</v>
      </c>
      <c r="D135" s="1" t="s">
        <v>540</v>
      </c>
      <c r="E135" s="1" t="s">
        <v>545</v>
      </c>
      <c r="F135" s="1">
        <v>11</v>
      </c>
      <c r="G135" s="1" t="str">
        <f t="shared" si="9"/>
        <v>Distribution</v>
      </c>
      <c r="H135" s="1" t="s">
        <v>12</v>
      </c>
      <c r="I135" s="1" t="s">
        <v>13</v>
      </c>
      <c r="J135" s="7" t="s">
        <v>542</v>
      </c>
      <c r="K135" s="1">
        <v>1.35</v>
      </c>
      <c r="L135" s="1" t="s">
        <v>201</v>
      </c>
      <c r="M135" s="1" t="s">
        <v>546</v>
      </c>
      <c r="N135" s="1" t="s">
        <v>218</v>
      </c>
      <c r="O135" s="1" t="str">
        <f t="shared" si="8"/>
        <v>High</v>
      </c>
      <c r="P135" s="1" t="str">
        <f t="shared" si="10"/>
        <v>Permanent</v>
      </c>
      <c r="Q135" s="1"/>
    </row>
    <row r="136" spans="1:17" x14ac:dyDescent="0.3">
      <c r="A136" s="7" t="s">
        <v>547</v>
      </c>
      <c r="B136" s="1" t="s">
        <v>548</v>
      </c>
      <c r="C136" s="1" t="s">
        <v>549</v>
      </c>
      <c r="D136" s="1" t="s">
        <v>290</v>
      </c>
      <c r="E136" s="1" t="s">
        <v>550</v>
      </c>
      <c r="F136" s="1">
        <v>11</v>
      </c>
      <c r="G136" s="1" t="str">
        <f t="shared" si="9"/>
        <v>Distribution</v>
      </c>
      <c r="H136" s="1" t="s">
        <v>12</v>
      </c>
      <c r="I136" s="1" t="s">
        <v>13</v>
      </c>
      <c r="J136" s="10">
        <v>4.3750000000000004E-2</v>
      </c>
      <c r="K136" s="1">
        <v>1.45</v>
      </c>
      <c r="L136" s="1" t="s">
        <v>201</v>
      </c>
      <c r="M136" s="1" t="s">
        <v>142</v>
      </c>
      <c r="N136" s="1" t="s">
        <v>232</v>
      </c>
      <c r="O136" s="1" t="str">
        <f t="shared" ref="O136:O146" si="11">IF(K136&lt;=0.083,"Low",IF(K136&lt;=0.5,"Medium",IF(K136&gt;0.5,"High")))</f>
        <v>High</v>
      </c>
      <c r="P136" s="1" t="str">
        <f t="shared" si="10"/>
        <v>Permanent</v>
      </c>
      <c r="Q136" s="1"/>
    </row>
    <row r="137" spans="1:17" x14ac:dyDescent="0.3">
      <c r="A137" s="7" t="s">
        <v>552</v>
      </c>
      <c r="B137" s="1" t="s">
        <v>553</v>
      </c>
      <c r="C137" s="1" t="s">
        <v>555</v>
      </c>
      <c r="D137" s="1" t="s">
        <v>290</v>
      </c>
      <c r="E137" s="1" t="s">
        <v>556</v>
      </c>
      <c r="F137" s="1">
        <v>11</v>
      </c>
      <c r="G137" s="1" t="str">
        <f t="shared" si="9"/>
        <v>Distribution</v>
      </c>
      <c r="H137" s="1" t="s">
        <v>12</v>
      </c>
      <c r="I137" s="1" t="s">
        <v>13</v>
      </c>
      <c r="J137" s="7" t="s">
        <v>557</v>
      </c>
      <c r="K137" s="1">
        <v>1.32</v>
      </c>
      <c r="L137" s="1" t="s">
        <v>558</v>
      </c>
      <c r="M137" s="1" t="s">
        <v>559</v>
      </c>
      <c r="N137" s="1" t="s">
        <v>232</v>
      </c>
      <c r="O137" s="1" t="str">
        <f t="shared" si="11"/>
        <v>High</v>
      </c>
      <c r="P137" s="1" t="str">
        <f t="shared" si="10"/>
        <v>Permanent</v>
      </c>
      <c r="Q137" s="1"/>
    </row>
    <row r="138" spans="1:17" x14ac:dyDescent="0.3">
      <c r="A138" s="7" t="s">
        <v>552</v>
      </c>
      <c r="B138" s="1" t="s">
        <v>553</v>
      </c>
      <c r="C138" s="1" t="s">
        <v>555</v>
      </c>
      <c r="D138" s="1" t="s">
        <v>290</v>
      </c>
      <c r="E138" s="1" t="s">
        <v>560</v>
      </c>
      <c r="F138" s="1">
        <v>11</v>
      </c>
      <c r="G138" s="1" t="str">
        <f t="shared" si="9"/>
        <v>Distribution</v>
      </c>
      <c r="H138" s="1" t="s">
        <v>12</v>
      </c>
      <c r="I138" s="1" t="s">
        <v>13</v>
      </c>
      <c r="J138" s="7" t="s">
        <v>554</v>
      </c>
      <c r="K138" s="1">
        <v>1.32</v>
      </c>
      <c r="L138" s="1" t="s">
        <v>558</v>
      </c>
      <c r="M138" s="1" t="s">
        <v>142</v>
      </c>
      <c r="N138" s="1" t="s">
        <v>232</v>
      </c>
      <c r="O138" s="1" t="str">
        <f t="shared" si="11"/>
        <v>High</v>
      </c>
      <c r="P138" s="1" t="str">
        <f t="shared" si="10"/>
        <v>Permanent</v>
      </c>
      <c r="Q138" s="1"/>
    </row>
    <row r="139" spans="1:17" x14ac:dyDescent="0.3">
      <c r="A139" s="7" t="s">
        <v>562</v>
      </c>
      <c r="B139" s="1" t="s">
        <v>563</v>
      </c>
      <c r="C139" s="1" t="s">
        <v>564</v>
      </c>
      <c r="D139" s="1" t="s">
        <v>41</v>
      </c>
      <c r="E139" s="1" t="s">
        <v>566</v>
      </c>
      <c r="F139" s="1">
        <v>11</v>
      </c>
      <c r="G139" s="1" t="str">
        <f t="shared" si="9"/>
        <v>Distribution</v>
      </c>
      <c r="H139" s="1" t="s">
        <v>12</v>
      </c>
      <c r="I139" s="1" t="s">
        <v>13</v>
      </c>
      <c r="J139" s="7" t="s">
        <v>180</v>
      </c>
      <c r="K139" s="1">
        <v>4.57</v>
      </c>
      <c r="L139" s="1" t="s">
        <v>565</v>
      </c>
      <c r="M139" s="1" t="s">
        <v>307</v>
      </c>
      <c r="N139" s="1" t="s">
        <v>252</v>
      </c>
      <c r="O139" s="1" t="str">
        <f t="shared" si="11"/>
        <v>High</v>
      </c>
      <c r="P139" s="1" t="str">
        <f t="shared" si="10"/>
        <v>Permanent</v>
      </c>
      <c r="Q139" s="1"/>
    </row>
    <row r="140" spans="1:17" x14ac:dyDescent="0.3">
      <c r="A140" s="7" t="s">
        <v>562</v>
      </c>
      <c r="B140" s="1" t="s">
        <v>563</v>
      </c>
      <c r="C140" s="1" t="s">
        <v>564</v>
      </c>
      <c r="D140" s="1" t="s">
        <v>41</v>
      </c>
      <c r="E140" s="1" t="s">
        <v>567</v>
      </c>
      <c r="F140" s="1">
        <v>11</v>
      </c>
      <c r="G140" s="1" t="str">
        <f t="shared" si="9"/>
        <v>Distribution</v>
      </c>
      <c r="H140" s="1" t="s">
        <v>12</v>
      </c>
      <c r="I140" s="1" t="s">
        <v>13</v>
      </c>
      <c r="J140" s="7" t="s">
        <v>180</v>
      </c>
      <c r="K140" s="1">
        <v>4.57</v>
      </c>
      <c r="L140" s="1" t="s">
        <v>565</v>
      </c>
      <c r="M140" s="1" t="s">
        <v>307</v>
      </c>
      <c r="N140" s="1" t="s">
        <v>252</v>
      </c>
      <c r="O140" s="1" t="str">
        <f t="shared" si="11"/>
        <v>High</v>
      </c>
      <c r="P140" s="1" t="str">
        <f t="shared" si="10"/>
        <v>Permanent</v>
      </c>
      <c r="Q140" s="1"/>
    </row>
    <row r="141" spans="1:17" x14ac:dyDescent="0.3">
      <c r="A141" s="7" t="s">
        <v>568</v>
      </c>
      <c r="B141" s="1" t="s">
        <v>498</v>
      </c>
      <c r="C141" s="1" t="s">
        <v>569</v>
      </c>
      <c r="D141" s="1" t="s">
        <v>41</v>
      </c>
      <c r="E141" s="1" t="s">
        <v>567</v>
      </c>
      <c r="F141" s="1">
        <v>11</v>
      </c>
      <c r="G141" s="1" t="str">
        <f t="shared" si="9"/>
        <v>Distribution</v>
      </c>
      <c r="H141" s="1" t="s">
        <v>30</v>
      </c>
      <c r="I141" s="1" t="s">
        <v>13</v>
      </c>
      <c r="J141" s="7" t="s">
        <v>570</v>
      </c>
      <c r="K141" s="1">
        <v>5.42</v>
      </c>
      <c r="L141" s="1" t="s">
        <v>571</v>
      </c>
      <c r="M141" s="1" t="s">
        <v>572</v>
      </c>
      <c r="N141" s="1" t="s">
        <v>252</v>
      </c>
      <c r="O141" s="1" t="str">
        <f t="shared" si="11"/>
        <v>High</v>
      </c>
      <c r="P141" s="1" t="str">
        <f t="shared" si="10"/>
        <v>Permanent</v>
      </c>
      <c r="Q141" s="1"/>
    </row>
    <row r="142" spans="1:17" x14ac:dyDescent="0.3">
      <c r="A142" s="7" t="s">
        <v>573</v>
      </c>
      <c r="B142" s="1" t="s">
        <v>417</v>
      </c>
      <c r="C142" s="1" t="s">
        <v>575</v>
      </c>
      <c r="D142" s="1" t="s">
        <v>161</v>
      </c>
      <c r="E142" s="1" t="s">
        <v>576</v>
      </c>
      <c r="F142" s="1">
        <v>11</v>
      </c>
      <c r="G142" s="1" t="str">
        <f t="shared" si="9"/>
        <v>Distribution</v>
      </c>
      <c r="H142" s="1" t="s">
        <v>109</v>
      </c>
      <c r="I142" s="1" t="s">
        <v>13</v>
      </c>
      <c r="J142" s="7" t="s">
        <v>577</v>
      </c>
      <c r="K142" s="1">
        <v>1.37</v>
      </c>
      <c r="L142" s="1" t="s">
        <v>228</v>
      </c>
      <c r="M142" s="1" t="s">
        <v>578</v>
      </c>
      <c r="N142" s="1" t="s">
        <v>252</v>
      </c>
      <c r="O142" s="1" t="str">
        <f t="shared" si="11"/>
        <v>High</v>
      </c>
      <c r="P142" s="1" t="str">
        <f t="shared" si="10"/>
        <v>Permanent</v>
      </c>
      <c r="Q142" s="1"/>
    </row>
    <row r="143" spans="1:17" x14ac:dyDescent="0.3">
      <c r="A143" s="7" t="s">
        <v>579</v>
      </c>
      <c r="B143" s="1" t="s">
        <v>580</v>
      </c>
      <c r="C143" s="1" t="s">
        <v>581</v>
      </c>
      <c r="D143" s="1" t="s">
        <v>35</v>
      </c>
      <c r="E143" s="1" t="s">
        <v>582</v>
      </c>
      <c r="F143" s="1">
        <v>11</v>
      </c>
      <c r="G143" s="1" t="str">
        <f t="shared" si="9"/>
        <v>Distribution</v>
      </c>
      <c r="H143" s="1" t="s">
        <v>12</v>
      </c>
      <c r="I143" s="1" t="s">
        <v>24</v>
      </c>
      <c r="J143" s="7" t="s">
        <v>583</v>
      </c>
      <c r="K143" s="1">
        <v>0.8</v>
      </c>
      <c r="L143" s="1" t="s">
        <v>251</v>
      </c>
      <c r="M143" s="1" t="s">
        <v>584</v>
      </c>
      <c r="N143" s="1" t="s">
        <v>252</v>
      </c>
      <c r="O143" s="1" t="str">
        <f t="shared" si="11"/>
        <v>High</v>
      </c>
      <c r="P143" s="1" t="str">
        <f t="shared" si="10"/>
        <v>Permanent</v>
      </c>
      <c r="Q143" s="1"/>
    </row>
    <row r="144" spans="1:17" x14ac:dyDescent="0.3">
      <c r="A144" s="7" t="s">
        <v>579</v>
      </c>
      <c r="B144" s="1" t="s">
        <v>580</v>
      </c>
      <c r="C144" s="1" t="s">
        <v>581</v>
      </c>
      <c r="D144" s="1" t="s">
        <v>35</v>
      </c>
      <c r="E144" s="1" t="s">
        <v>585</v>
      </c>
      <c r="F144" s="1">
        <v>11</v>
      </c>
      <c r="G144" s="1" t="str">
        <f t="shared" si="9"/>
        <v>Distribution</v>
      </c>
      <c r="H144" s="1" t="s">
        <v>12</v>
      </c>
      <c r="I144" s="1" t="s">
        <v>24</v>
      </c>
      <c r="J144" s="7" t="s">
        <v>586</v>
      </c>
      <c r="K144" s="1">
        <v>1.17</v>
      </c>
      <c r="L144" s="1" t="s">
        <v>251</v>
      </c>
      <c r="M144" s="1" t="s">
        <v>587</v>
      </c>
      <c r="N144" s="1" t="s">
        <v>252</v>
      </c>
      <c r="O144" s="1" t="str">
        <f t="shared" si="11"/>
        <v>High</v>
      </c>
      <c r="P144" s="1" t="str">
        <f t="shared" si="10"/>
        <v>Permanent</v>
      </c>
    </row>
    <row r="145" spans="1:16" x14ac:dyDescent="0.3">
      <c r="A145" s="7" t="s">
        <v>589</v>
      </c>
      <c r="B145" s="1" t="s">
        <v>590</v>
      </c>
      <c r="C145" s="1" t="s">
        <v>591</v>
      </c>
      <c r="D145" s="1" t="s">
        <v>35</v>
      </c>
      <c r="E145" s="1" t="s">
        <v>592</v>
      </c>
      <c r="F145" s="1">
        <v>11</v>
      </c>
      <c r="G145" s="1" t="str">
        <f t="shared" si="9"/>
        <v>Distribution</v>
      </c>
      <c r="H145" s="1" t="s">
        <v>12</v>
      </c>
      <c r="I145" s="1" t="s">
        <v>24</v>
      </c>
      <c r="J145" s="7" t="s">
        <v>561</v>
      </c>
      <c r="K145" s="1">
        <v>0.73</v>
      </c>
      <c r="L145" s="1" t="s">
        <v>119</v>
      </c>
      <c r="M145" s="1" t="s">
        <v>593</v>
      </c>
      <c r="N145" s="1" t="s">
        <v>252</v>
      </c>
      <c r="O145" s="1" t="str">
        <f t="shared" si="11"/>
        <v>High</v>
      </c>
      <c r="P145" s="1" t="str">
        <f t="shared" si="10"/>
        <v>Permanent</v>
      </c>
    </row>
    <row r="146" spans="1:16" x14ac:dyDescent="0.3">
      <c r="A146" s="7" t="s">
        <v>589</v>
      </c>
      <c r="B146" s="1" t="s">
        <v>590</v>
      </c>
      <c r="C146" s="1" t="s">
        <v>591</v>
      </c>
      <c r="D146" s="1" t="s">
        <v>35</v>
      </c>
      <c r="E146" s="1" t="s">
        <v>595</v>
      </c>
      <c r="F146" s="1">
        <v>33</v>
      </c>
      <c r="G146" s="1" t="str">
        <f t="shared" si="9"/>
        <v>Distribution</v>
      </c>
      <c r="H146" s="1" t="s">
        <v>12</v>
      </c>
      <c r="I146" s="1" t="s">
        <v>24</v>
      </c>
      <c r="J146" s="7" t="s">
        <v>594</v>
      </c>
      <c r="K146" s="1">
        <v>0.92</v>
      </c>
      <c r="L146" s="1" t="s">
        <v>15</v>
      </c>
      <c r="M146" s="1" t="s">
        <v>307</v>
      </c>
      <c r="N146" s="1" t="s">
        <v>252</v>
      </c>
      <c r="O146" s="1" t="str">
        <f t="shared" si="11"/>
        <v>High</v>
      </c>
      <c r="P146" s="1" t="str">
        <f t="shared" si="10"/>
        <v>Permanent</v>
      </c>
    </row>
    <row r="147" spans="1:16" x14ac:dyDescent="0.3">
      <c r="A147" s="7" t="s">
        <v>597</v>
      </c>
      <c r="B147" s="1" t="s">
        <v>598</v>
      </c>
      <c r="C147" s="1" t="s">
        <v>599</v>
      </c>
      <c r="D147" s="1" t="s">
        <v>35</v>
      </c>
      <c r="E147" s="1" t="s">
        <v>600</v>
      </c>
      <c r="F147" s="1">
        <v>11</v>
      </c>
      <c r="G147" s="1" t="str">
        <f t="shared" si="9"/>
        <v>Distribution</v>
      </c>
      <c r="H147" s="1" t="s">
        <v>12</v>
      </c>
      <c r="I147" s="1" t="s">
        <v>13</v>
      </c>
      <c r="J147" s="7" t="s">
        <v>601</v>
      </c>
      <c r="K147" s="1">
        <v>2.15</v>
      </c>
      <c r="L147" s="1" t="s">
        <v>251</v>
      </c>
      <c r="M147" s="1" t="s">
        <v>602</v>
      </c>
      <c r="N147" s="1" t="s">
        <v>16</v>
      </c>
      <c r="O147" s="1" t="str">
        <f t="shared" ref="O147:O174" si="12">IF(K147&lt;=0.083,"Low",IF(K147&lt;= 0.5,"Medium",IF(K147&gt;0.5,"High")))</f>
        <v>High</v>
      </c>
      <c r="P147" s="1" t="str">
        <f t="shared" si="10"/>
        <v>Permanent</v>
      </c>
    </row>
    <row r="148" spans="1:16" x14ac:dyDescent="0.3">
      <c r="A148" s="7" t="s">
        <v>603</v>
      </c>
      <c r="B148" s="1" t="s">
        <v>604</v>
      </c>
      <c r="C148" s="1" t="s">
        <v>605</v>
      </c>
      <c r="D148" s="1" t="s">
        <v>70</v>
      </c>
      <c r="E148" s="1" t="s">
        <v>606</v>
      </c>
      <c r="F148" s="1">
        <v>11</v>
      </c>
      <c r="G148" s="1" t="str">
        <f t="shared" si="9"/>
        <v>Distribution</v>
      </c>
      <c r="H148" s="1" t="s">
        <v>70</v>
      </c>
      <c r="I148" s="1" t="s">
        <v>36</v>
      </c>
      <c r="J148" s="7" t="s">
        <v>474</v>
      </c>
      <c r="K148" s="1">
        <v>9.18</v>
      </c>
      <c r="L148" s="1" t="s">
        <v>251</v>
      </c>
      <c r="M148" s="1" t="s">
        <v>307</v>
      </c>
      <c r="N148" s="1" t="s">
        <v>45</v>
      </c>
      <c r="O148" s="1" t="str">
        <f t="shared" si="12"/>
        <v>High</v>
      </c>
      <c r="P148" s="1" t="str">
        <f t="shared" si="10"/>
        <v>Permanent</v>
      </c>
    </row>
    <row r="149" spans="1:16" x14ac:dyDescent="0.3">
      <c r="A149" s="7" t="s">
        <v>607</v>
      </c>
      <c r="B149" s="1" t="s">
        <v>608</v>
      </c>
      <c r="C149" s="1" t="s">
        <v>609</v>
      </c>
      <c r="D149" s="1" t="s">
        <v>610</v>
      </c>
      <c r="E149" s="1" t="s">
        <v>611</v>
      </c>
      <c r="F149" s="1">
        <v>33</v>
      </c>
      <c r="G149" s="1" t="str">
        <f t="shared" si="9"/>
        <v>Distribution</v>
      </c>
      <c r="H149" s="1" t="s">
        <v>12</v>
      </c>
      <c r="I149" s="1" t="s">
        <v>50</v>
      </c>
      <c r="J149" s="7" t="s">
        <v>226</v>
      </c>
      <c r="K149" s="1">
        <v>0.45</v>
      </c>
      <c r="L149" s="1" t="s">
        <v>574</v>
      </c>
      <c r="M149" s="1" t="s">
        <v>612</v>
      </c>
      <c r="N149" s="1" t="s">
        <v>45</v>
      </c>
      <c r="O149" s="1" t="str">
        <f t="shared" si="12"/>
        <v>Medium</v>
      </c>
      <c r="P149" s="1" t="str">
        <f t="shared" si="10"/>
        <v>Sustained</v>
      </c>
    </row>
    <row r="150" spans="1:16" x14ac:dyDescent="0.3">
      <c r="A150" s="7" t="s">
        <v>607</v>
      </c>
      <c r="B150" s="1" t="s">
        <v>551</v>
      </c>
      <c r="C150" s="1" t="s">
        <v>613</v>
      </c>
      <c r="D150" s="1" t="s">
        <v>614</v>
      </c>
      <c r="E150" s="1" t="s">
        <v>615</v>
      </c>
      <c r="F150" s="1">
        <v>33</v>
      </c>
      <c r="G150" s="1" t="str">
        <f t="shared" si="9"/>
        <v>Distribution</v>
      </c>
      <c r="H150" s="1" t="s">
        <v>12</v>
      </c>
      <c r="I150" s="1" t="s">
        <v>50</v>
      </c>
      <c r="J150" s="7" t="s">
        <v>226</v>
      </c>
      <c r="K150" s="1">
        <v>0.45</v>
      </c>
      <c r="L150" s="1" t="s">
        <v>574</v>
      </c>
      <c r="M150" s="1" t="s">
        <v>612</v>
      </c>
      <c r="N150" s="1" t="s">
        <v>45</v>
      </c>
      <c r="O150" s="1" t="str">
        <f t="shared" si="12"/>
        <v>Medium</v>
      </c>
      <c r="P150" s="1" t="str">
        <f t="shared" si="10"/>
        <v>Sustained</v>
      </c>
    </row>
    <row r="151" spans="1:16" x14ac:dyDescent="0.3">
      <c r="A151" s="7" t="s">
        <v>616</v>
      </c>
      <c r="B151" s="1" t="s">
        <v>617</v>
      </c>
      <c r="C151" s="1" t="s">
        <v>618</v>
      </c>
      <c r="D151" s="1" t="s">
        <v>403</v>
      </c>
      <c r="E151" s="1" t="s">
        <v>621</v>
      </c>
      <c r="F151" s="1">
        <v>11</v>
      </c>
      <c r="G151" s="1" t="str">
        <f t="shared" si="9"/>
        <v>Distribution</v>
      </c>
      <c r="H151" s="1" t="s">
        <v>12</v>
      </c>
      <c r="I151" s="1" t="s">
        <v>13</v>
      </c>
      <c r="J151" s="7" t="s">
        <v>619</v>
      </c>
      <c r="K151" s="1">
        <v>1.17</v>
      </c>
      <c r="L151" s="1" t="s">
        <v>620</v>
      </c>
      <c r="M151" s="1" t="s">
        <v>307</v>
      </c>
      <c r="N151" s="1" t="s">
        <v>45</v>
      </c>
      <c r="O151" s="1" t="str">
        <f t="shared" si="12"/>
        <v>High</v>
      </c>
      <c r="P151" s="1" t="str">
        <f t="shared" si="10"/>
        <v>Permanent</v>
      </c>
    </row>
    <row r="152" spans="1:16" x14ac:dyDescent="0.3">
      <c r="A152" s="15">
        <v>45718</v>
      </c>
      <c r="B152" s="10">
        <v>0.33194444444444443</v>
      </c>
      <c r="C152" s="1" t="s">
        <v>622</v>
      </c>
      <c r="D152" s="1" t="s">
        <v>102</v>
      </c>
      <c r="E152" s="1" t="s">
        <v>623</v>
      </c>
      <c r="F152" s="1">
        <v>11</v>
      </c>
      <c r="G152" s="1" t="str">
        <f t="shared" si="9"/>
        <v>Distribution</v>
      </c>
      <c r="H152" s="1" t="s">
        <v>12</v>
      </c>
      <c r="I152" s="1" t="s">
        <v>24</v>
      </c>
      <c r="J152" s="10">
        <v>9.0972222222222218E-2</v>
      </c>
      <c r="K152" s="7">
        <v>18.22</v>
      </c>
      <c r="L152" s="1" t="s">
        <v>328</v>
      </c>
      <c r="M152" s="1" t="s">
        <v>624</v>
      </c>
      <c r="N152" s="1" t="s">
        <v>61</v>
      </c>
      <c r="O152" s="1" t="str">
        <f t="shared" si="12"/>
        <v>High</v>
      </c>
      <c r="P152" s="1" t="str">
        <f t="shared" si="10"/>
        <v>Permanent</v>
      </c>
    </row>
    <row r="153" spans="1:16" x14ac:dyDescent="0.3">
      <c r="A153" s="15">
        <v>45725</v>
      </c>
      <c r="B153" s="10">
        <v>0.77083333333333337</v>
      </c>
      <c r="C153" s="1" t="s">
        <v>626</v>
      </c>
      <c r="D153" s="1" t="s">
        <v>628</v>
      </c>
      <c r="E153" s="1" t="s">
        <v>629</v>
      </c>
      <c r="F153" s="1">
        <v>11</v>
      </c>
      <c r="G153" s="1" t="str">
        <f t="shared" si="9"/>
        <v>Distribution</v>
      </c>
      <c r="H153" s="1" t="s">
        <v>12</v>
      </c>
      <c r="I153" s="1" t="s">
        <v>13</v>
      </c>
      <c r="J153" s="10">
        <v>0.82986111111111116</v>
      </c>
      <c r="K153" s="7">
        <v>1.42</v>
      </c>
      <c r="L153" s="1" t="s">
        <v>15</v>
      </c>
      <c r="M153" s="1" t="s">
        <v>142</v>
      </c>
      <c r="N153" s="1" t="s">
        <v>61</v>
      </c>
      <c r="O153" s="1" t="str">
        <f t="shared" si="12"/>
        <v>High</v>
      </c>
      <c r="P153" s="1" t="str">
        <f t="shared" si="10"/>
        <v>Permanent</v>
      </c>
    </row>
    <row r="154" spans="1:16" x14ac:dyDescent="0.3">
      <c r="A154" s="15">
        <v>45729</v>
      </c>
      <c r="B154" s="10">
        <v>0.1986111111111111</v>
      </c>
      <c r="C154" s="1" t="s">
        <v>630</v>
      </c>
      <c r="D154" s="1" t="s">
        <v>302</v>
      </c>
      <c r="E154" s="1" t="s">
        <v>631</v>
      </c>
      <c r="F154" s="1">
        <v>11</v>
      </c>
      <c r="G154" s="1" t="str">
        <f t="shared" si="9"/>
        <v>Distribution</v>
      </c>
      <c r="H154" s="1" t="s">
        <v>17</v>
      </c>
      <c r="I154" s="1" t="s">
        <v>36</v>
      </c>
      <c r="J154" s="10">
        <v>0.23819444444444443</v>
      </c>
      <c r="K154" s="7">
        <v>0.95</v>
      </c>
      <c r="L154" s="1" t="s">
        <v>588</v>
      </c>
      <c r="M154" s="1" t="s">
        <v>632</v>
      </c>
      <c r="N154" s="1" t="s">
        <v>61</v>
      </c>
      <c r="O154" s="1" t="str">
        <f t="shared" si="12"/>
        <v>High</v>
      </c>
      <c r="P154" s="1" t="str">
        <f t="shared" si="10"/>
        <v>Permanent</v>
      </c>
    </row>
    <row r="155" spans="1:16" x14ac:dyDescent="0.3">
      <c r="A155" s="15">
        <v>45729</v>
      </c>
      <c r="B155" s="10">
        <v>0.26597222222222222</v>
      </c>
      <c r="C155" s="1" t="s">
        <v>630</v>
      </c>
      <c r="D155" s="1" t="s">
        <v>302</v>
      </c>
      <c r="E155" s="1" t="s">
        <v>631</v>
      </c>
      <c r="F155" s="1">
        <v>11</v>
      </c>
      <c r="G155" s="1" t="str">
        <f t="shared" si="9"/>
        <v>Distribution</v>
      </c>
      <c r="H155" s="1" t="s">
        <v>17</v>
      </c>
      <c r="I155" s="1" t="s">
        <v>36</v>
      </c>
      <c r="J155" s="10">
        <v>0.29444444444444445</v>
      </c>
      <c r="K155" s="7">
        <v>0.68</v>
      </c>
      <c r="L155" s="1" t="s">
        <v>588</v>
      </c>
      <c r="M155" s="1" t="s">
        <v>632</v>
      </c>
      <c r="N155" s="1" t="s">
        <v>61</v>
      </c>
      <c r="O155" s="1" t="str">
        <f t="shared" si="12"/>
        <v>High</v>
      </c>
      <c r="P155" s="1" t="str">
        <f t="shared" si="10"/>
        <v>Permanent</v>
      </c>
    </row>
    <row r="156" spans="1:16" x14ac:dyDescent="0.3">
      <c r="A156" s="15">
        <v>45729</v>
      </c>
      <c r="B156" s="10">
        <v>0.54236111111111107</v>
      </c>
      <c r="C156" s="1" t="s">
        <v>625</v>
      </c>
      <c r="D156" s="1" t="s">
        <v>297</v>
      </c>
      <c r="E156" s="1" t="s">
        <v>633</v>
      </c>
      <c r="F156" s="1">
        <v>11</v>
      </c>
      <c r="G156" s="1" t="str">
        <f t="shared" si="9"/>
        <v>Distribution</v>
      </c>
      <c r="H156" s="1" t="s">
        <v>17</v>
      </c>
      <c r="I156" s="1" t="s">
        <v>36</v>
      </c>
      <c r="J156" s="10">
        <v>0.59166666666666667</v>
      </c>
      <c r="K156" s="7">
        <v>1.18</v>
      </c>
      <c r="L156" s="1" t="s">
        <v>634</v>
      </c>
      <c r="M156" s="1" t="s">
        <v>635</v>
      </c>
      <c r="N156" s="1" t="s">
        <v>61</v>
      </c>
      <c r="O156" s="1" t="str">
        <f t="shared" si="12"/>
        <v>High</v>
      </c>
      <c r="P156" s="1" t="str">
        <f t="shared" si="10"/>
        <v>Permanent</v>
      </c>
    </row>
    <row r="157" spans="1:16" x14ac:dyDescent="0.3">
      <c r="A157" s="15">
        <v>45729</v>
      </c>
      <c r="B157" s="10">
        <v>0.54236111111111107</v>
      </c>
      <c r="C157" s="1" t="s">
        <v>625</v>
      </c>
      <c r="D157" s="1" t="s">
        <v>297</v>
      </c>
      <c r="E157" s="1" t="s">
        <v>636</v>
      </c>
      <c r="F157" s="1">
        <v>11</v>
      </c>
      <c r="G157" s="1" t="str">
        <f t="shared" si="9"/>
        <v>Distribution</v>
      </c>
      <c r="H157" s="1" t="s">
        <v>17</v>
      </c>
      <c r="I157" s="1" t="s">
        <v>36</v>
      </c>
      <c r="J157" s="10">
        <v>0.71736111111111112</v>
      </c>
      <c r="K157" s="7">
        <v>4.2</v>
      </c>
      <c r="L157" s="1" t="s">
        <v>634</v>
      </c>
      <c r="M157" s="1" t="s">
        <v>637</v>
      </c>
      <c r="N157" s="1" t="s">
        <v>61</v>
      </c>
      <c r="O157" s="1" t="str">
        <f t="shared" si="12"/>
        <v>High</v>
      </c>
      <c r="P157" s="1" t="str">
        <f t="shared" si="10"/>
        <v>Permanent</v>
      </c>
    </row>
    <row r="158" spans="1:16" x14ac:dyDescent="0.3">
      <c r="A158" s="15">
        <v>45738</v>
      </c>
      <c r="B158" s="10">
        <v>0.62847222222222221</v>
      </c>
      <c r="C158" s="1" t="s">
        <v>638</v>
      </c>
      <c r="D158" s="1" t="s">
        <v>192</v>
      </c>
      <c r="E158" s="1" t="s">
        <v>639</v>
      </c>
      <c r="F158" s="1">
        <v>33</v>
      </c>
      <c r="G158" s="1" t="str">
        <f t="shared" si="9"/>
        <v>Distribution</v>
      </c>
      <c r="H158" s="1" t="s">
        <v>30</v>
      </c>
      <c r="I158" s="1" t="s">
        <v>13</v>
      </c>
      <c r="J158" s="10">
        <v>0.6791666666666667</v>
      </c>
      <c r="K158" s="7">
        <v>1.22</v>
      </c>
      <c r="L158" s="1" t="s">
        <v>15</v>
      </c>
      <c r="M158" s="1" t="s">
        <v>640</v>
      </c>
      <c r="N158" s="1" t="s">
        <v>61</v>
      </c>
      <c r="O158" s="1" t="str">
        <f t="shared" si="12"/>
        <v>High</v>
      </c>
      <c r="P158" s="1" t="str">
        <f t="shared" si="10"/>
        <v>Permanent</v>
      </c>
    </row>
    <row r="159" spans="1:16" x14ac:dyDescent="0.3">
      <c r="A159" s="15">
        <v>45744</v>
      </c>
      <c r="B159" s="10">
        <v>0.83263888888888893</v>
      </c>
      <c r="C159" s="1" t="s">
        <v>641</v>
      </c>
      <c r="D159" s="1" t="s">
        <v>290</v>
      </c>
      <c r="E159" s="1" t="s">
        <v>642</v>
      </c>
      <c r="F159" s="1">
        <v>11</v>
      </c>
      <c r="G159" s="1" t="str">
        <f t="shared" si="9"/>
        <v>Distribution</v>
      </c>
      <c r="H159" s="1" t="s">
        <v>12</v>
      </c>
      <c r="I159" s="1" t="s">
        <v>643</v>
      </c>
      <c r="J159" s="10">
        <v>0.91319444444444442</v>
      </c>
      <c r="K159" s="7">
        <v>1.93</v>
      </c>
      <c r="L159" s="1" t="s">
        <v>15</v>
      </c>
      <c r="M159" s="1" t="s">
        <v>644</v>
      </c>
      <c r="N159" s="1" t="s">
        <v>61</v>
      </c>
      <c r="O159" s="1" t="str">
        <f t="shared" si="12"/>
        <v>High</v>
      </c>
      <c r="P159" s="1" t="str">
        <f t="shared" si="10"/>
        <v>Permanent</v>
      </c>
    </row>
    <row r="160" spans="1:16" x14ac:dyDescent="0.3">
      <c r="A160" s="15">
        <v>45744</v>
      </c>
      <c r="B160" s="10">
        <v>0.83263888888888893</v>
      </c>
      <c r="C160" s="1" t="s">
        <v>641</v>
      </c>
      <c r="D160" s="1" t="s">
        <v>290</v>
      </c>
      <c r="E160" s="1" t="s">
        <v>645</v>
      </c>
      <c r="F160" s="1">
        <v>11</v>
      </c>
      <c r="G160" s="1" t="str">
        <f t="shared" si="9"/>
        <v>Distribution</v>
      </c>
      <c r="H160" s="1" t="s">
        <v>12</v>
      </c>
      <c r="I160" s="1" t="s">
        <v>643</v>
      </c>
      <c r="J160" s="10">
        <v>0.91319444444444442</v>
      </c>
      <c r="K160" s="7">
        <v>1.93</v>
      </c>
      <c r="L160" s="1" t="s">
        <v>15</v>
      </c>
      <c r="M160" s="1" t="s">
        <v>644</v>
      </c>
      <c r="N160" s="1" t="s">
        <v>61</v>
      </c>
      <c r="O160" s="1" t="str">
        <f t="shared" si="12"/>
        <v>High</v>
      </c>
      <c r="P160" s="1" t="str">
        <f t="shared" si="10"/>
        <v>Permanent</v>
      </c>
    </row>
    <row r="161" spans="1:16" x14ac:dyDescent="0.3">
      <c r="A161" s="15">
        <v>45756</v>
      </c>
      <c r="B161" s="10">
        <v>0.28194444444444444</v>
      </c>
      <c r="C161" s="1" t="s">
        <v>646</v>
      </c>
      <c r="D161" s="1" t="s">
        <v>19</v>
      </c>
      <c r="E161" s="1" t="s">
        <v>647</v>
      </c>
      <c r="F161" s="1">
        <v>33</v>
      </c>
      <c r="G161" s="1" t="str">
        <f t="shared" si="9"/>
        <v>Distribution</v>
      </c>
      <c r="H161" s="1" t="s">
        <v>12</v>
      </c>
      <c r="I161" s="1" t="s">
        <v>24</v>
      </c>
      <c r="J161" s="10">
        <v>0.66874999999999996</v>
      </c>
      <c r="K161" s="7">
        <v>9.2799999999999994</v>
      </c>
      <c r="L161" s="1" t="s">
        <v>131</v>
      </c>
      <c r="M161" s="1" t="s">
        <v>648</v>
      </c>
      <c r="N161" s="1" t="s">
        <v>105</v>
      </c>
      <c r="O161" s="1" t="str">
        <f t="shared" si="12"/>
        <v>High</v>
      </c>
      <c r="P161" s="1" t="str">
        <f t="shared" si="10"/>
        <v>Permanent</v>
      </c>
    </row>
    <row r="162" spans="1:16" x14ac:dyDescent="0.3">
      <c r="A162" s="15">
        <v>45759</v>
      </c>
      <c r="B162" s="10">
        <v>0.45347222222222222</v>
      </c>
      <c r="C162" s="1" t="s">
        <v>649</v>
      </c>
      <c r="D162" s="1" t="s">
        <v>19</v>
      </c>
      <c r="E162" s="1" t="s">
        <v>647</v>
      </c>
      <c r="F162" s="1">
        <v>33</v>
      </c>
      <c r="G162" s="1" t="str">
        <f t="shared" si="9"/>
        <v>Distribution</v>
      </c>
      <c r="H162" s="1" t="s">
        <v>12</v>
      </c>
      <c r="I162" s="1" t="s">
        <v>36</v>
      </c>
      <c r="J162" s="10">
        <v>0.47986111111111113</v>
      </c>
      <c r="K162" s="7">
        <v>0.63</v>
      </c>
      <c r="L162" s="1" t="s">
        <v>131</v>
      </c>
      <c r="M162" s="1" t="s">
        <v>650</v>
      </c>
      <c r="N162" s="1" t="s">
        <v>105</v>
      </c>
      <c r="O162" s="1" t="str">
        <f t="shared" si="12"/>
        <v>High</v>
      </c>
      <c r="P162" s="1" t="str">
        <f t="shared" si="10"/>
        <v>Permanent</v>
      </c>
    </row>
    <row r="163" spans="1:16" x14ac:dyDescent="0.3">
      <c r="A163" s="15">
        <v>45759</v>
      </c>
      <c r="B163" s="10">
        <v>0.6</v>
      </c>
      <c r="C163" s="1" t="s">
        <v>651</v>
      </c>
      <c r="D163" s="1" t="s">
        <v>19</v>
      </c>
      <c r="E163" s="1" t="s">
        <v>647</v>
      </c>
      <c r="F163" s="1">
        <v>33</v>
      </c>
      <c r="G163" s="1" t="str">
        <f t="shared" si="9"/>
        <v>Distribution</v>
      </c>
      <c r="H163" s="1" t="s">
        <v>12</v>
      </c>
      <c r="I163" s="1" t="s">
        <v>36</v>
      </c>
      <c r="J163" s="10">
        <v>0.61875000000000002</v>
      </c>
      <c r="K163" s="7">
        <v>0.45</v>
      </c>
      <c r="L163" s="1" t="s">
        <v>131</v>
      </c>
      <c r="M163" s="1" t="s">
        <v>650</v>
      </c>
      <c r="N163" s="1" t="s">
        <v>105</v>
      </c>
      <c r="O163" s="1" t="str">
        <f t="shared" si="12"/>
        <v>Medium</v>
      </c>
      <c r="P163" s="1" t="str">
        <f t="shared" si="10"/>
        <v>Sustained</v>
      </c>
    </row>
    <row r="164" spans="1:16" x14ac:dyDescent="0.3">
      <c r="A164" s="15">
        <v>45766</v>
      </c>
      <c r="B164" s="10">
        <v>0.39374999999999999</v>
      </c>
      <c r="C164" s="1" t="s">
        <v>653</v>
      </c>
      <c r="D164" s="1" t="s">
        <v>614</v>
      </c>
      <c r="E164" s="1" t="s">
        <v>654</v>
      </c>
      <c r="F164" s="1">
        <v>11</v>
      </c>
      <c r="G164" s="1" t="str">
        <f t="shared" si="9"/>
        <v>Distribution</v>
      </c>
      <c r="H164" s="1" t="s">
        <v>12</v>
      </c>
      <c r="I164" s="1" t="s">
        <v>36</v>
      </c>
      <c r="J164" s="10">
        <v>0.58680555555555558</v>
      </c>
      <c r="K164" s="7">
        <v>4.63</v>
      </c>
      <c r="L164" s="1" t="s">
        <v>627</v>
      </c>
      <c r="M164" s="1" t="s">
        <v>655</v>
      </c>
      <c r="N164" s="1" t="s">
        <v>105</v>
      </c>
      <c r="O164" s="1" t="str">
        <f t="shared" si="12"/>
        <v>High</v>
      </c>
      <c r="P164" s="1" t="str">
        <f t="shared" si="10"/>
        <v>Permanent</v>
      </c>
    </row>
    <row r="165" spans="1:16" x14ac:dyDescent="0.3">
      <c r="A165" s="15">
        <v>45766</v>
      </c>
      <c r="B165" s="10">
        <v>0.39374999999999999</v>
      </c>
      <c r="C165" s="1" t="s">
        <v>653</v>
      </c>
      <c r="D165" s="1" t="s">
        <v>614</v>
      </c>
      <c r="E165" s="1" t="s">
        <v>656</v>
      </c>
      <c r="F165" s="1">
        <v>11</v>
      </c>
      <c r="G165" s="1" t="str">
        <f t="shared" si="9"/>
        <v>Distribution</v>
      </c>
      <c r="H165" s="1" t="s">
        <v>12</v>
      </c>
      <c r="I165" s="1" t="s">
        <v>36</v>
      </c>
      <c r="J165" s="11" t="s">
        <v>657</v>
      </c>
      <c r="K165" s="7">
        <v>50.4</v>
      </c>
      <c r="L165" s="1" t="s">
        <v>627</v>
      </c>
      <c r="M165" s="1" t="s">
        <v>658</v>
      </c>
      <c r="N165" s="1" t="s">
        <v>105</v>
      </c>
      <c r="O165" s="1" t="str">
        <f t="shared" si="12"/>
        <v>High</v>
      </c>
      <c r="P165" s="1" t="str">
        <f t="shared" si="10"/>
        <v>Permanent</v>
      </c>
    </row>
    <row r="166" spans="1:16" x14ac:dyDescent="0.3">
      <c r="A166" s="15">
        <v>45770</v>
      </c>
      <c r="B166" s="10">
        <v>0.92569444444444449</v>
      </c>
      <c r="C166" s="1" t="s">
        <v>652</v>
      </c>
      <c r="D166" s="1" t="s">
        <v>659</v>
      </c>
      <c r="E166" s="1" t="s">
        <v>660</v>
      </c>
      <c r="F166" s="1">
        <v>33</v>
      </c>
      <c r="G166" s="1" t="str">
        <f t="shared" si="9"/>
        <v>Distribution</v>
      </c>
      <c r="H166" s="1" t="s">
        <v>12</v>
      </c>
      <c r="I166" s="1" t="s">
        <v>13</v>
      </c>
      <c r="J166" s="10">
        <v>2.013888888888889E-2</v>
      </c>
      <c r="K166" s="7">
        <v>2.27</v>
      </c>
      <c r="L166" s="1" t="s">
        <v>661</v>
      </c>
      <c r="M166" s="1" t="s">
        <v>662</v>
      </c>
      <c r="N166" s="1" t="s">
        <v>105</v>
      </c>
      <c r="O166" s="1" t="str">
        <f t="shared" si="12"/>
        <v>High</v>
      </c>
      <c r="P166" s="1" t="str">
        <f t="shared" si="10"/>
        <v>Permanent</v>
      </c>
    </row>
    <row r="167" spans="1:16" x14ac:dyDescent="0.3">
      <c r="A167" s="15">
        <v>45777</v>
      </c>
      <c r="B167" s="10">
        <v>0.30208333333333331</v>
      </c>
      <c r="C167" s="1" t="s">
        <v>663</v>
      </c>
      <c r="D167" s="1" t="s">
        <v>19</v>
      </c>
      <c r="E167" s="1" t="s">
        <v>664</v>
      </c>
      <c r="F167" s="1">
        <v>33</v>
      </c>
      <c r="G167" s="1" t="str">
        <f t="shared" si="9"/>
        <v>Distribution</v>
      </c>
      <c r="H167" s="1" t="s">
        <v>12</v>
      </c>
      <c r="I167" s="1" t="s">
        <v>665</v>
      </c>
      <c r="J167" s="10">
        <v>0.33541666666666664</v>
      </c>
      <c r="K167" s="7">
        <v>0.8</v>
      </c>
      <c r="L167" s="1" t="s">
        <v>131</v>
      </c>
      <c r="M167" s="1" t="s">
        <v>435</v>
      </c>
      <c r="N167" s="1" t="s">
        <v>105</v>
      </c>
      <c r="O167" s="1" t="str">
        <f t="shared" si="12"/>
        <v>High</v>
      </c>
      <c r="P167" s="1" t="str">
        <f t="shared" si="10"/>
        <v>Permanent</v>
      </c>
    </row>
    <row r="168" spans="1:16" x14ac:dyDescent="0.3">
      <c r="A168" s="15">
        <v>45777</v>
      </c>
      <c r="B168" s="10">
        <v>0.38333333333333336</v>
      </c>
      <c r="C168" s="1" t="s">
        <v>596</v>
      </c>
      <c r="D168" s="1" t="s">
        <v>19</v>
      </c>
      <c r="E168" s="1" t="s">
        <v>666</v>
      </c>
      <c r="F168" s="1">
        <v>33</v>
      </c>
      <c r="G168" s="1" t="str">
        <f t="shared" si="9"/>
        <v>Distribution</v>
      </c>
      <c r="H168" s="1" t="s">
        <v>12</v>
      </c>
      <c r="I168" s="1" t="s">
        <v>665</v>
      </c>
      <c r="J168" s="10">
        <v>0.39861111111111114</v>
      </c>
      <c r="K168" s="7">
        <v>0.37</v>
      </c>
      <c r="L168" s="1" t="s">
        <v>667</v>
      </c>
      <c r="M168" s="1" t="s">
        <v>668</v>
      </c>
      <c r="N168" s="1" t="s">
        <v>105</v>
      </c>
      <c r="O168" s="1" t="str">
        <f t="shared" si="12"/>
        <v>Medium</v>
      </c>
      <c r="P168" s="1" t="str">
        <f t="shared" si="10"/>
        <v>Sustained</v>
      </c>
    </row>
    <row r="169" spans="1:16" x14ac:dyDescent="0.3">
      <c r="A169" s="15">
        <v>45780</v>
      </c>
      <c r="B169" s="10">
        <v>0.43055555555555558</v>
      </c>
      <c r="C169" s="1" t="s">
        <v>669</v>
      </c>
      <c r="D169" s="1" t="s">
        <v>161</v>
      </c>
      <c r="E169" s="1" t="s">
        <v>670</v>
      </c>
      <c r="F169" s="1">
        <v>11</v>
      </c>
      <c r="G169" s="1" t="str">
        <f t="shared" si="9"/>
        <v>Distribution</v>
      </c>
      <c r="H169" s="1" t="s">
        <v>17</v>
      </c>
      <c r="I169" s="1" t="s">
        <v>665</v>
      </c>
      <c r="J169" s="10">
        <v>0.67569444444444449</v>
      </c>
      <c r="K169" s="7">
        <v>5.88</v>
      </c>
      <c r="L169" s="1" t="s">
        <v>634</v>
      </c>
      <c r="M169" s="1" t="s">
        <v>671</v>
      </c>
      <c r="N169" s="1" t="s">
        <v>135</v>
      </c>
      <c r="O169" s="1" t="str">
        <f t="shared" si="12"/>
        <v>High</v>
      </c>
      <c r="P169" s="1" t="str">
        <f t="shared" si="10"/>
        <v>Permanent</v>
      </c>
    </row>
    <row r="170" spans="1:16" x14ac:dyDescent="0.3">
      <c r="A170" s="15">
        <v>45780</v>
      </c>
      <c r="B170" s="10">
        <v>0.43055555555555558</v>
      </c>
      <c r="C170" s="1" t="s">
        <v>669</v>
      </c>
      <c r="D170" s="1" t="s">
        <v>161</v>
      </c>
      <c r="E170" s="1" t="s">
        <v>672</v>
      </c>
      <c r="F170" s="1">
        <v>11</v>
      </c>
      <c r="G170" s="1" t="str">
        <f t="shared" si="9"/>
        <v>Distribution</v>
      </c>
      <c r="H170" s="1" t="s">
        <v>17</v>
      </c>
      <c r="I170" s="1" t="s">
        <v>665</v>
      </c>
      <c r="J170" s="10">
        <v>0.67986111111111114</v>
      </c>
      <c r="K170" s="7">
        <v>5.98</v>
      </c>
      <c r="L170" s="1" t="s">
        <v>634</v>
      </c>
      <c r="M170" s="1" t="s">
        <v>673</v>
      </c>
      <c r="N170" s="1" t="s">
        <v>135</v>
      </c>
      <c r="O170" s="1" t="str">
        <f t="shared" si="12"/>
        <v>High</v>
      </c>
      <c r="P170" s="1" t="str">
        <f t="shared" si="10"/>
        <v>Permanent</v>
      </c>
    </row>
    <row r="171" spans="1:16" x14ac:dyDescent="0.3">
      <c r="A171" s="15">
        <v>45800</v>
      </c>
      <c r="B171" s="10">
        <v>0.92569444444444449</v>
      </c>
      <c r="C171" s="1" t="s">
        <v>652</v>
      </c>
      <c r="D171" s="1" t="s">
        <v>659</v>
      </c>
      <c r="E171" s="1" t="s">
        <v>660</v>
      </c>
      <c r="F171" s="1">
        <v>33</v>
      </c>
      <c r="G171" s="1" t="str">
        <f t="shared" si="9"/>
        <v>Distribution</v>
      </c>
      <c r="H171" s="1" t="s">
        <v>12</v>
      </c>
      <c r="I171" s="1" t="s">
        <v>13</v>
      </c>
      <c r="J171" s="10">
        <v>2.013888888888889E-2</v>
      </c>
      <c r="K171" s="7">
        <v>2.27</v>
      </c>
      <c r="L171" s="1" t="s">
        <v>661</v>
      </c>
      <c r="M171" s="1" t="s">
        <v>662</v>
      </c>
      <c r="N171" s="1" t="s">
        <v>135</v>
      </c>
      <c r="O171" s="1" t="str">
        <f t="shared" si="12"/>
        <v>High</v>
      </c>
      <c r="P171" s="1" t="str">
        <f t="shared" si="10"/>
        <v>Permanent</v>
      </c>
    </row>
    <row r="172" spans="1:16" x14ac:dyDescent="0.3">
      <c r="A172" s="15">
        <v>45816</v>
      </c>
      <c r="B172" s="10">
        <v>0.49444444444444446</v>
      </c>
      <c r="C172" s="1" t="s">
        <v>674</v>
      </c>
      <c r="D172" s="1" t="s">
        <v>127</v>
      </c>
      <c r="E172" s="1" t="s">
        <v>675</v>
      </c>
      <c r="F172" s="1">
        <v>11</v>
      </c>
      <c r="G172" s="1" t="str">
        <f t="shared" si="9"/>
        <v>Distribution</v>
      </c>
      <c r="H172" s="1" t="s">
        <v>12</v>
      </c>
      <c r="I172" s="1" t="s">
        <v>13</v>
      </c>
      <c r="J172" s="10">
        <v>0.52152777777777781</v>
      </c>
      <c r="K172" s="1">
        <v>0.65</v>
      </c>
      <c r="L172" s="1" t="s">
        <v>15</v>
      </c>
      <c r="M172" s="1" t="s">
        <v>676</v>
      </c>
      <c r="N172" s="1" t="s">
        <v>165</v>
      </c>
      <c r="O172" s="1" t="str">
        <f t="shared" si="12"/>
        <v>High</v>
      </c>
      <c r="P172" s="1" t="str">
        <f t="shared" si="10"/>
        <v>Permanent</v>
      </c>
    </row>
    <row r="173" spans="1:16" x14ac:dyDescent="0.3">
      <c r="A173" s="15">
        <v>45816</v>
      </c>
      <c r="B173" s="10">
        <v>0.49444444444444446</v>
      </c>
      <c r="C173" s="1" t="s">
        <v>674</v>
      </c>
      <c r="D173" s="1" t="s">
        <v>127</v>
      </c>
      <c r="E173" s="1" t="s">
        <v>677</v>
      </c>
      <c r="F173" s="1">
        <v>11</v>
      </c>
      <c r="G173" s="1" t="str">
        <f t="shared" si="9"/>
        <v>Distribution</v>
      </c>
      <c r="H173" s="1" t="s">
        <v>12</v>
      </c>
      <c r="I173" s="1" t="s">
        <v>13</v>
      </c>
      <c r="J173" s="10">
        <v>0.52152777777777781</v>
      </c>
      <c r="K173" s="1">
        <v>0.65</v>
      </c>
      <c r="L173" s="1" t="s">
        <v>15</v>
      </c>
      <c r="M173" s="1" t="s">
        <v>678</v>
      </c>
      <c r="N173" s="1" t="s">
        <v>165</v>
      </c>
      <c r="O173" s="1" t="str">
        <f t="shared" si="12"/>
        <v>High</v>
      </c>
      <c r="P173" s="1" t="str">
        <f t="shared" si="10"/>
        <v>Permanent</v>
      </c>
    </row>
    <row r="174" spans="1:16" x14ac:dyDescent="0.3">
      <c r="A174" s="15">
        <v>45833</v>
      </c>
      <c r="B174" s="10">
        <v>0.72986111111111107</v>
      </c>
      <c r="C174" s="1" t="s">
        <v>679</v>
      </c>
      <c r="D174" s="1" t="s">
        <v>190</v>
      </c>
      <c r="E174" s="1" t="s">
        <v>681</v>
      </c>
      <c r="F174" s="1">
        <v>33</v>
      </c>
      <c r="G174" s="1" t="str">
        <f t="shared" si="9"/>
        <v>Distribution</v>
      </c>
      <c r="H174" s="1" t="s">
        <v>12</v>
      </c>
      <c r="I174" s="1" t="s">
        <v>13</v>
      </c>
      <c r="J174" s="10">
        <v>0.8666666666666667</v>
      </c>
      <c r="K174" s="1">
        <v>3.28</v>
      </c>
      <c r="L174" s="1" t="s">
        <v>680</v>
      </c>
      <c r="M174" s="1" t="s">
        <v>682</v>
      </c>
      <c r="N174" s="1" t="s">
        <v>165</v>
      </c>
      <c r="O174" s="1" t="str">
        <f t="shared" si="12"/>
        <v>High</v>
      </c>
      <c r="P174" s="1" t="str">
        <f t="shared" si="10"/>
        <v>Permanent</v>
      </c>
    </row>
  </sheetData>
  <sortState ref="A2:P268">
    <sortCondition ref="G2:G268" customList="Distribution,Sub-Transmission,Transmission"/>
  </sortState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Monthly_Fault_Data__Jan_Mar1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KANTI</dc:creator>
  <cp:lastModifiedBy>THERESA KANTI</cp:lastModifiedBy>
  <dcterms:created xsi:type="dcterms:W3CDTF">2025-08-26T07:56:18Z</dcterms:created>
  <dcterms:modified xsi:type="dcterms:W3CDTF">2026-04-01T20:37:22Z</dcterms:modified>
</cp:coreProperties>
</file>